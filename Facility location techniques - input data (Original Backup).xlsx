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M" sheetId="1" r:id="rId4"/>
    <sheet state="visible" name="SCND" sheetId="2" r:id="rId5"/>
    <sheet state="visible" name="Location factor rating" sheetId="3" r:id="rId6"/>
    <sheet state="visible" name="CoG technique" sheetId="4" r:id="rId7"/>
    <sheet state="visible" name="Load-distance technique" sheetId="5" r:id="rId8"/>
  </sheets>
  <definedNames>
    <definedName localSheetId="1" name="solver_adj">SCND!$B$17:$B$19,SCND!$B$22:$B$26,SCND!$B$30:$D$32,SCND!$B$36:$F$38,SCND!$B$42:$G$46</definedName>
    <definedName localSheetId="0" name="solver_adj">TM!$C$12:$F$16,TM!$G$23:$G$24</definedName>
    <definedName localSheetId="1" name="solver_cvg">0.0001</definedName>
    <definedName localSheetId="0" name="solver_cvg">0.0001</definedName>
    <definedName localSheetId="1" name="solver_drv">2</definedName>
    <definedName localSheetId="0" name="solver_drv">2</definedName>
    <definedName localSheetId="1" name="solver_eng">2</definedName>
    <definedName localSheetId="0" name="solver_eng">2</definedName>
    <definedName localSheetId="1" name="solver_est">1</definedName>
    <definedName localSheetId="0" name="solver_est">1</definedName>
    <definedName localSheetId="1" name="solver_itr">2147483647</definedName>
    <definedName localSheetId="0" name="solver_itr">2147483647</definedName>
    <definedName localSheetId="1" name="solver_mip">2147483647</definedName>
    <definedName localSheetId="0" name="solver_mip">2147483647</definedName>
    <definedName localSheetId="1" name="solver_mni">30</definedName>
    <definedName localSheetId="0" name="solver_mni">30</definedName>
    <definedName localSheetId="1" name="solver_mrt">0.075</definedName>
    <definedName localSheetId="0" name="solver_mrt">0.075</definedName>
    <definedName localSheetId="1" name="solver_msl">2</definedName>
    <definedName localSheetId="0" name="solver_msl">2</definedName>
    <definedName localSheetId="1" name="solver_neg">1</definedName>
    <definedName localSheetId="0" name="solver_neg">1</definedName>
    <definedName localSheetId="1" name="solver_nod">2147483647</definedName>
    <definedName localSheetId="0" name="solver_nod">2147483647</definedName>
    <definedName localSheetId="1" name="solver_num">20</definedName>
    <definedName localSheetId="0" name="solver_num">9</definedName>
    <definedName localSheetId="1" name="solver_nwt">1</definedName>
    <definedName localSheetId="0" name="solver_nwt">1</definedName>
    <definedName localSheetId="1" name="solver_pre">0.000001</definedName>
    <definedName localSheetId="0" name="solver_pre">0.000001</definedName>
    <definedName localSheetId="1" name="solver_rbv">2</definedName>
    <definedName localSheetId="0" name="solver_rbv">2</definedName>
    <definedName localSheetId="1" name="solver_rel1">5</definedName>
    <definedName localSheetId="0" name="solver_rel1">2</definedName>
    <definedName localSheetId="1" name="solver_rel10">1</definedName>
    <definedName localSheetId="1" name="solver_rel11">2</definedName>
    <definedName localSheetId="1" name="solver_rel12">2</definedName>
    <definedName localSheetId="1" name="solver_rel13">2</definedName>
    <definedName localSheetId="1" name="solver_rel14">2</definedName>
    <definedName localSheetId="1" name="solver_rel15">2</definedName>
    <definedName localSheetId="1" name="solver_rel16">2</definedName>
    <definedName localSheetId="1" name="solver_rel17">2</definedName>
    <definedName localSheetId="1" name="solver_rel18">1</definedName>
    <definedName localSheetId="1" name="solver_rel19">2</definedName>
    <definedName localSheetId="1" name="solver_rel2">5</definedName>
    <definedName localSheetId="0" name="solver_rel2">1</definedName>
    <definedName localSheetId="1" name="solver_rel20">1</definedName>
    <definedName localSheetId="1" name="solver_rel21">1</definedName>
    <definedName localSheetId="1" name="solver_rel3">2</definedName>
    <definedName localSheetId="0" name="solver_rel3">1</definedName>
    <definedName localSheetId="1" name="solver_rel4">2</definedName>
    <definedName localSheetId="0" name="solver_rel4">1</definedName>
    <definedName localSheetId="1" name="solver_rel5">2</definedName>
    <definedName localSheetId="0" name="solver_rel5">1</definedName>
    <definedName localSheetId="1" name="solver_rel6">2</definedName>
    <definedName localSheetId="0" name="solver_rel6">1</definedName>
    <definedName localSheetId="1" name="solver_rel7">2</definedName>
    <definedName localSheetId="0" name="solver_rel7">5</definedName>
    <definedName localSheetId="1" name="solver_rel8">2</definedName>
    <definedName localSheetId="0" name="solver_rel8">5</definedName>
    <definedName localSheetId="1" name="solver_rel9">2</definedName>
    <definedName localSheetId="0" name="solver_rel9">2</definedName>
    <definedName localSheetId="1" name="solver_rhs1">"binary"</definedName>
    <definedName localSheetId="1" name="solver_rhs2">"binary"</definedName>
    <definedName localSheetId="0" name="solver_rhs7">"binary"</definedName>
    <definedName localSheetId="0" name="solver_rhs8">"binary"</definedName>
    <definedName localSheetId="0" name="solver_rhs9">1</definedName>
    <definedName localSheetId="1" name="solver_rlx">2</definedName>
    <definedName localSheetId="0" name="solver_rlx">2</definedName>
    <definedName localSheetId="1" name="solver_rsd">0</definedName>
    <definedName localSheetId="0" name="solver_rsd">0</definedName>
    <definedName localSheetId="1" name="solver_scl">2</definedName>
    <definedName localSheetId="0" name="solver_scl">2</definedName>
    <definedName localSheetId="1" name="solver_sho">2</definedName>
    <definedName localSheetId="0" name="solver_sho">2</definedName>
    <definedName localSheetId="1" name="solver_ssz">100</definedName>
    <definedName localSheetId="0" name="solver_ssz">100</definedName>
    <definedName localSheetId="1" name="solver_tim">2147483647</definedName>
    <definedName localSheetId="0" name="solver_tim">2147483647</definedName>
    <definedName localSheetId="1" name="solver_tol">0.01</definedName>
    <definedName localSheetId="0" name="solver_tol">0.01</definedName>
    <definedName localSheetId="1" name="solver_typ">2</definedName>
    <definedName localSheetId="0" name="solver_typ">2</definedName>
    <definedName localSheetId="1" name="solver_val">0</definedName>
    <definedName localSheetId="0" name="solver_val">0</definedName>
    <definedName localSheetId="1" name="solver_ver">3</definedName>
    <definedName localSheetId="0" name="solver_ver">3</definedName>
    <definedName localSheetId="1" name="solver_lhs11">SCND!$C$33</definedName>
    <definedName localSheetId="1" name="solver_lhs20">SCND!$H$42:$H$46</definedName>
    <definedName localSheetId="1" name="solver_rhs9">SCND!$H$44</definedName>
    <definedName localSheetId="1" name="solver_opt">SCND!$J$35</definedName>
    <definedName localSheetId="1" name="solver_lhs18">SCND!$G$36:$G$38</definedName>
    <definedName localSheetId="0" name="solver_rhs6">TM!$F$6</definedName>
    <definedName localSheetId="1" name="solver_lhs10">SCND!$E$30:$E$32</definedName>
    <definedName localSheetId="1" name="solver_lhs4">SCND!$B$39</definedName>
    <definedName localSheetId="1" name="solver_lhs6">SCND!$C$39</definedName>
    <definedName localSheetId="1" name="solver_rhs3">SCND!$G$36</definedName>
    <definedName localSheetId="1" name="solver_lhs8">SCND!$C$47</definedName>
    <definedName localSheetId="0" name="solver_rhs5">TM!$F$5</definedName>
    <definedName localSheetId="0" name="solver_lhs9">TM!$G$25</definedName>
    <definedName localSheetId="0" name="solver_opt">TM!$B$21</definedName>
    <definedName localSheetId="1" name="solver_rhs8">SCND!$C$6</definedName>
    <definedName localSheetId="1" name="solver_lhs13">SCND!$G$47</definedName>
    <definedName localSheetId="1" name="solver_rhs14">SCND!$C$7</definedName>
    <definedName localSheetId="0" name="solver_lhs5">TM!$G$15</definedName>
    <definedName localSheetId="1" name="solver_lhs7">SCND!$D$33</definedName>
    <definedName localSheetId="0" name="solver_rhs4">TM!$F$4</definedName>
    <definedName localSheetId="1" name="solver_lhs21">SCND!$E$30:$E$32</definedName>
    <definedName localSheetId="0" name="solver_lhs7">TM!$G$23</definedName>
    <definedName localSheetId="1" name="solver_lhs3">SCND!$B$33</definedName>
    <definedName localSheetId="1" name="solver_rhs21">SCND!$G$5:$G$7</definedName>
    <definedName localSheetId="1" name="solver_rhs20">SCND!$C$22:$C$26</definedName>
    <definedName localSheetId="1" name="solver_rhs17">SCND!$C$9</definedName>
    <definedName localSheetId="1" name="solver_rhs16">SCND!$H$46</definedName>
    <definedName localSheetId="0" name="solver_rhs3">TM!$F$3</definedName>
    <definedName localSheetId="0" name="solver_lhs8">TM!$G$24</definedName>
    <definedName localSheetId="1" name="solver_rhs7">SCND!$G$38</definedName>
    <definedName localSheetId="0" name="solver_lhs1">TM!$C$17:$F$17</definedName>
    <definedName localSheetId="1" name="solver_lhs15">SCND!$E$47</definedName>
    <definedName localSheetId="1" name="solver_rhs10">SCND!$G$5:$G$7</definedName>
    <definedName localSheetId="0" name="solver_rhs2">TM!$F$2</definedName>
    <definedName localSheetId="1" name="solver_rhs5">SCND!$C$5</definedName>
    <definedName localSheetId="1" name="solver_lhs17">SCND!$F$47</definedName>
    <definedName localSheetId="1" name="solver_lhs2">SCND!$B$22:$B$26</definedName>
    <definedName localSheetId="1" name="solver_rhs4">SCND!$H$42</definedName>
    <definedName localSheetId="1" name="solver_lhs16">SCND!$F$39</definedName>
    <definedName localSheetId="0" name="solver_lhs4">TM!$G$14</definedName>
    <definedName localSheetId="1" name="solver_rhs11">SCND!$G$37</definedName>
    <definedName localSheetId="1" name="solver_rhs6">SCND!$H$43</definedName>
    <definedName localSheetId="1" name="solver_lhs12">SCND!$E$39</definedName>
    <definedName localSheetId="0" name="solver_lhs3">TM!$G$13</definedName>
    <definedName localSheetId="0" name="solver_lhs2">TM!$G$12</definedName>
    <definedName localSheetId="1" name="solver_lhs5">SCND!$B$47</definedName>
    <definedName localSheetId="1" name="solver_lhs1">SCND!$B$17:$B$19</definedName>
    <definedName localSheetId="1" name="solver_rhs19">SCND!$H$44</definedName>
    <definedName localSheetId="1" name="solver_rhs15">SCND!$C$8</definedName>
    <definedName localSheetId="1" name="solver_lhs19">SCND!$D$39</definedName>
    <definedName localSheetId="1" name="solver_lhs14">SCND!$D$47</definedName>
    <definedName localSheetId="1" name="solver_rhs13">SCND!$C$10</definedName>
    <definedName localSheetId="1" name="solver_rhs18">SCND!$C$17:$C$19</definedName>
    <definedName localSheetId="1" name="solver_rhs12">SCND!$H$45</definedName>
    <definedName localSheetId="1" name="solver_lhs9">SCND!$D$39</definedName>
    <definedName localSheetId="0" name="solver_lhs6">TM!$G$16</definedName>
    <definedName localSheetId="0" name="solver_rhs1">TM!$C$18:$F$18</definedName>
  </definedNames>
  <calcPr/>
  <extLst>
    <ext uri="GoogleSheetsCustomDataVersion2">
      <go:sheetsCustomData xmlns:go="http://customooxmlschemas.google.com/" r:id="rId9" roundtripDataChecksum="qT5+2ws43CfabLBMgJY2EBERHhnD/Qn/rQGlTzJF8zg="/>
    </ext>
  </extLst>
</workbook>
</file>

<file path=xl/sharedStrings.xml><?xml version="1.0" encoding="utf-8"?>
<sst xmlns="http://schemas.openxmlformats.org/spreadsheetml/2006/main" count="223" uniqueCount="135">
  <si>
    <t>MKG Inc</t>
  </si>
  <si>
    <t>ASN Inc</t>
  </si>
  <si>
    <t>GMZ Inc</t>
  </si>
  <si>
    <t>Akla Inc</t>
  </si>
  <si>
    <t>Capacity</t>
  </si>
  <si>
    <t>Miami</t>
  </si>
  <si>
    <t>Candidate Sites</t>
  </si>
  <si>
    <r>
      <rPr>
        <rFont val="Aptos Narrow"/>
        <b/>
        <color theme="1"/>
        <sz val="11.0"/>
      </rPr>
      <t>Parameters (</t>
    </r>
    <r>
      <rPr>
        <rFont val="Aptos Narrow"/>
        <b val="0"/>
        <color theme="1"/>
        <sz val="11.0"/>
      </rPr>
      <t>input data</t>
    </r>
    <r>
      <rPr>
        <rFont val="Aptos Narrow"/>
        <b/>
        <color theme="1"/>
        <sz val="11.0"/>
      </rPr>
      <t>)</t>
    </r>
  </si>
  <si>
    <t>Tempe</t>
  </si>
  <si>
    <t>Factor</t>
  </si>
  <si>
    <t>Weight</t>
  </si>
  <si>
    <t>Pune</t>
  </si>
  <si>
    <t>Nagpur</t>
  </si>
  <si>
    <t>Indore</t>
  </si>
  <si>
    <t>Columbus</t>
  </si>
  <si>
    <t>Vadodara</t>
  </si>
  <si>
    <t>Land &amp; Site Development Cost</t>
  </si>
  <si>
    <t>Highway &amp; Expressway Connectivity</t>
  </si>
  <si>
    <t>Dallas</t>
  </si>
  <si>
    <t>Power grid reliability</t>
  </si>
  <si>
    <t>Availability of skilled labor pool</t>
  </si>
  <si>
    <t>Chicago</t>
  </si>
  <si>
    <t>Local tax incentives &amp; subsidies</t>
  </si>
  <si>
    <r>
      <rPr>
        <rFont val="Aptos Narrow"/>
        <b/>
        <color theme="1"/>
        <sz val="11.0"/>
      </rPr>
      <t>Parameters (</t>
    </r>
    <r>
      <rPr>
        <rFont val="Aptos Narrow"/>
        <b val="0"/>
        <color theme="1"/>
        <sz val="11.0"/>
      </rPr>
      <t>Input data</t>
    </r>
    <r>
      <rPr>
        <rFont val="Aptos Narrow"/>
        <b/>
        <color theme="1"/>
        <sz val="11.0"/>
      </rPr>
      <t>)</t>
    </r>
  </si>
  <si>
    <t>Location</t>
  </si>
  <si>
    <t>Digital &amp; Telecom infrastructure</t>
  </si>
  <si>
    <t>Total factor score</t>
  </si>
  <si>
    <r>
      <rPr>
        <rFont val="Aptos Narrow"/>
        <b/>
        <color theme="1"/>
        <sz val="11.0"/>
      </rPr>
      <t>X-coordinate (</t>
    </r>
    <r>
      <rPr>
        <rFont val="Aptos Narrow"/>
        <b val="0"/>
        <color theme="1"/>
        <sz val="11.0"/>
      </rPr>
      <t>Xi</t>
    </r>
    <r>
      <rPr>
        <rFont val="Aptos Narrow"/>
        <b/>
        <color theme="1"/>
        <sz val="11.0"/>
      </rPr>
      <t>)</t>
    </r>
  </si>
  <si>
    <t>Continuous Decision Variables</t>
  </si>
  <si>
    <r>
      <rPr>
        <rFont val="Aptos Narrow"/>
        <b/>
        <color theme="1"/>
        <sz val="11.0"/>
      </rPr>
      <t>Y-coordinate (</t>
    </r>
    <r>
      <rPr>
        <rFont val="Aptos Narrow"/>
        <b val="0"/>
        <color theme="1"/>
        <sz val="11.0"/>
      </rPr>
      <t>Yi</t>
    </r>
    <r>
      <rPr>
        <rFont val="Aptos Narrow"/>
        <b/>
        <color theme="1"/>
        <sz val="11.0"/>
      </rPr>
      <t>)</t>
    </r>
  </si>
  <si>
    <r>
      <rPr>
        <rFont val="Aptos Narrow"/>
        <b/>
        <color theme="1"/>
        <sz val="11.0"/>
      </rPr>
      <t>Monthly Demand (</t>
    </r>
    <r>
      <rPr>
        <rFont val="Aptos Narrow"/>
        <b val="0"/>
        <color theme="1"/>
        <sz val="11.0"/>
      </rPr>
      <t>Wi</t>
    </r>
    <r>
      <rPr>
        <rFont val="Aptos Narrow"/>
        <b/>
        <color theme="1"/>
        <sz val="11.0"/>
      </rPr>
      <t>)</t>
    </r>
  </si>
  <si>
    <t>Weighted X</t>
  </si>
  <si>
    <t>Weighted Y</t>
  </si>
  <si>
    <t>Bengaluru</t>
  </si>
  <si>
    <t>1200*150</t>
  </si>
  <si>
    <t>Mysore</t>
  </si>
  <si>
    <t>Destination</t>
  </si>
  <si>
    <t>Chennai</t>
  </si>
  <si>
    <t>Demand Figures</t>
  </si>
  <si>
    <t>Total Shipped from a plant</t>
  </si>
  <si>
    <t>Coimbatore</t>
  </si>
  <si>
    <t>Tirupati</t>
  </si>
  <si>
    <t>Supply Availability Figures</t>
  </si>
  <si>
    <t>Source</t>
  </si>
  <si>
    <t>Total Monthly Demand</t>
  </si>
  <si>
    <t>Supplier --&gt; Plant transportation cost matrix</t>
  </si>
  <si>
    <t>Total Weighted X</t>
  </si>
  <si>
    <t>Total Weighted Y</t>
  </si>
  <si>
    <t>Coordinates of New Facility Location</t>
  </si>
  <si>
    <t>Customer Zone</t>
  </si>
  <si>
    <t>City/Region</t>
  </si>
  <si>
    <r>
      <rPr>
        <rFont val="Aptos Narrow"/>
        <b/>
        <color theme="1"/>
        <sz val="11.0"/>
      </rPr>
      <t>Demand (</t>
    </r>
    <r>
      <rPr>
        <rFont val="Aptos Narrow"/>
        <b val="0"/>
        <color theme="1"/>
        <sz val="11.0"/>
      </rPr>
      <t>Units</t>
    </r>
    <r>
      <rPr>
        <rFont val="Aptos Narrow"/>
        <b/>
        <color theme="1"/>
        <sz val="11.0"/>
      </rPr>
      <t>)</t>
    </r>
  </si>
  <si>
    <t>X-coordinate</t>
  </si>
  <si>
    <t>Supplier</t>
  </si>
  <si>
    <t>Y-coordinate</t>
  </si>
  <si>
    <t>Supplier/Plant</t>
  </si>
  <si>
    <t>Sanand</t>
  </si>
  <si>
    <t>Sriperumbudur</t>
  </si>
  <si>
    <t>Total Shipped from all plants to DC</t>
  </si>
  <si>
    <t>Delhi</t>
  </si>
  <si>
    <t>Required Demand</t>
  </si>
  <si>
    <t>Jamnagar</t>
  </si>
  <si>
    <t>Objective Function</t>
  </si>
  <si>
    <t>Minimise total transportation cost</t>
  </si>
  <si>
    <t>Total Transportation Cost</t>
  </si>
  <si>
    <t>Binary Decision Variables</t>
  </si>
  <si>
    <t>Mumbai</t>
  </si>
  <si>
    <t>Manufacturing Plant</t>
  </si>
  <si>
    <t>Bhilai</t>
  </si>
  <si>
    <t>Facility Opening constraint</t>
  </si>
  <si>
    <t>Bellary</t>
  </si>
  <si>
    <t>Total Supply Capacity</t>
  </si>
  <si>
    <t>Hyderabad</t>
  </si>
  <si>
    <t xml:space="preserve">Existing Demand Nodes </t>
  </si>
  <si>
    <t>Kolkata</t>
  </si>
  <si>
    <t>Micro-fulfilment centre location</t>
  </si>
  <si>
    <t>X coordinate</t>
  </si>
  <si>
    <t>Production Capacity Figures</t>
  </si>
  <si>
    <t>Y coordinate</t>
  </si>
  <si>
    <r>
      <rPr>
        <rFont val="Aptos Narrow"/>
        <b/>
        <color theme="1"/>
        <sz val="11.0"/>
      </rPr>
      <t>Daily replenishment load (</t>
    </r>
    <r>
      <rPr>
        <rFont val="Aptos Narrow"/>
        <b val="0"/>
        <color theme="1"/>
        <sz val="11.0"/>
      </rPr>
      <t>in tons</t>
    </r>
    <r>
      <rPr>
        <rFont val="Aptos Narrow"/>
        <b/>
        <color theme="1"/>
        <sz val="11.0"/>
      </rPr>
      <t>)</t>
    </r>
  </si>
  <si>
    <t>Indiranagar</t>
  </si>
  <si>
    <t>Whitefield</t>
  </si>
  <si>
    <t>Plant --&gt; DC transportation cost matrix</t>
  </si>
  <si>
    <t>Koramangala</t>
  </si>
  <si>
    <t>Electronic city</t>
  </si>
  <si>
    <t>Yelahanka</t>
  </si>
  <si>
    <t>Candidate site for the central warehouse</t>
  </si>
  <si>
    <r>
      <rPr>
        <rFont val="Aptos Narrow"/>
        <b/>
        <i val="0"/>
        <color theme="1"/>
        <sz val="11.0"/>
      </rPr>
      <t>Step 1:</t>
    </r>
    <r>
      <rPr>
        <rFont val="Aptos Narrow"/>
        <i/>
        <color theme="1"/>
        <sz val="11.0"/>
      </rPr>
      <t xml:space="preserve"> Euclidean distance computation b/w candidate sites &amp; existing demand nodes</t>
    </r>
  </si>
  <si>
    <t>Candidate site</t>
  </si>
  <si>
    <t>Total Demand</t>
  </si>
  <si>
    <t>Hebbal</t>
  </si>
  <si>
    <t>Marathahalli</t>
  </si>
  <si>
    <t>Plant</t>
  </si>
  <si>
    <t>Silk board</t>
  </si>
  <si>
    <t>Candidate Location</t>
  </si>
  <si>
    <t>Fixed Opening Cost</t>
  </si>
  <si>
    <t>Max. Capacity</t>
  </si>
  <si>
    <t>Plant/DC</t>
  </si>
  <si>
    <t>Bhiwandi</t>
  </si>
  <si>
    <t>Greater Noida</t>
  </si>
  <si>
    <t>Hosur</t>
  </si>
  <si>
    <t>Dankuni</t>
  </si>
  <si>
    <r>
      <rPr>
        <rFont val="Aptos Narrow"/>
        <b/>
        <i val="0"/>
        <color theme="1"/>
        <sz val="11.0"/>
      </rPr>
      <t xml:space="preserve">Step 2: </t>
    </r>
    <r>
      <rPr>
        <rFont val="Aptos Narrow"/>
        <b val="0"/>
        <i/>
        <color theme="1"/>
        <sz val="11.0"/>
      </rPr>
      <t>Load-distance score computation</t>
    </r>
  </si>
  <si>
    <t>LD score</t>
  </si>
  <si>
    <t>Decision Variables</t>
  </si>
  <si>
    <t>Facility Opening binaries</t>
  </si>
  <si>
    <t>Total Production Capacity</t>
  </si>
  <si>
    <t xml:space="preserve">Plant </t>
  </si>
  <si>
    <t>Opening Status</t>
  </si>
  <si>
    <t>RHS of Plant Capacity Constraint</t>
  </si>
  <si>
    <t>Distribution Capacity Figures</t>
  </si>
  <si>
    <t>DC --&gt; Customer Zone transportation cost matrix</t>
  </si>
  <si>
    <t>DC</t>
  </si>
  <si>
    <t>Handling Capacity</t>
  </si>
  <si>
    <t>DC/CZ</t>
  </si>
  <si>
    <t xml:space="preserve">DC </t>
  </si>
  <si>
    <t>RHS of DC Capacity Constraint</t>
  </si>
  <si>
    <t>Total Handling Capacity</t>
  </si>
  <si>
    <t>Continuous flow quantity variables</t>
  </si>
  <si>
    <t>Total outflow from each supplier</t>
  </si>
  <si>
    <t>Supplier to plant freight cost</t>
  </si>
  <si>
    <t>Plant to DC freight cost</t>
  </si>
  <si>
    <t>DC to CZ freight cost</t>
  </si>
  <si>
    <t>Total inflow
to each
MP</t>
  </si>
  <si>
    <t>MP opening cost</t>
  </si>
  <si>
    <t>DC opening cost</t>
  </si>
  <si>
    <t>Total outflow from each MP</t>
  </si>
  <si>
    <t>Total Cost</t>
  </si>
  <si>
    <t>Total inflow
to each
DC</t>
  </si>
  <si>
    <t>Total outflow from each DC</t>
  </si>
  <si>
    <t>Total
received at 
each CZ</t>
  </si>
  <si>
    <t>Total DC-to-CZ flow</t>
  </si>
  <si>
    <t>Total MP-to-DC flow</t>
  </si>
  <si>
    <t>Total Supplier-to-MP flow</t>
  </si>
  <si>
    <r>
      <rPr>
        <rFont val="Aptos Narrow"/>
        <b/>
        <color theme="1"/>
        <sz val="11.0"/>
      </rPr>
      <t xml:space="preserve">Constraints
a) </t>
    </r>
    <r>
      <rPr>
        <rFont val="Aptos Narrow"/>
        <b val="0"/>
        <color theme="1"/>
        <sz val="11.0"/>
      </rPr>
      <t xml:space="preserve">Demand satisfaction constraint: </t>
    </r>
    <r>
      <rPr>
        <rFont val="Aptos Narrow"/>
        <b val="0"/>
        <i/>
        <color theme="1"/>
        <sz val="11.0"/>
      </rPr>
      <t>Demand at each customer zone should be met by the total
outflow from all DCs.</t>
    </r>
    <r>
      <rPr>
        <rFont val="Aptos Narrow"/>
        <b val="0"/>
        <color theme="1"/>
        <sz val="11.0"/>
      </rPr>
      <t xml:space="preserve">
</t>
    </r>
    <r>
      <rPr>
        <rFont val="Aptos Narrow"/>
        <b/>
        <color theme="1"/>
        <sz val="11.0"/>
      </rPr>
      <t xml:space="preserve">b) </t>
    </r>
    <r>
      <rPr>
        <rFont val="Aptos Narrow"/>
        <b val="0"/>
        <color theme="1"/>
        <sz val="11.0"/>
      </rPr>
      <t xml:space="preserve">Capacity constraint: </t>
    </r>
    <r>
      <rPr>
        <rFont val="Aptos Narrow"/>
        <b val="0"/>
        <i/>
        <color theme="1"/>
        <sz val="11.0"/>
      </rPr>
      <t>The outflow from each facility should not exceed its capacity. This is
applicable separately to suppliers, plants, and DCs.</t>
    </r>
    <r>
      <rPr>
        <rFont val="Aptos Narrow"/>
        <b val="0"/>
        <color theme="1"/>
        <sz val="11.0"/>
      </rPr>
      <t xml:space="preserve">
</t>
    </r>
    <r>
      <rPr>
        <rFont val="Aptos Narrow"/>
        <b/>
        <color theme="1"/>
        <sz val="11.0"/>
      </rPr>
      <t xml:space="preserve">c) </t>
    </r>
    <r>
      <rPr>
        <rFont val="Aptos Narrow"/>
        <b val="0"/>
        <i/>
        <color theme="1"/>
        <sz val="11.0"/>
      </rPr>
      <t>Variables indicating facility opening decisions should be binary.</t>
    </r>
    <r>
      <rPr>
        <rFont val="Aptos Narrow"/>
        <b val="0"/>
        <color theme="1"/>
        <sz val="11.0"/>
      </rPr>
      <t xml:space="preserve">
</t>
    </r>
    <r>
      <rPr>
        <rFont val="Aptos Narrow"/>
        <b/>
        <color theme="1"/>
        <sz val="11.0"/>
      </rPr>
      <t xml:space="preserve">d) </t>
    </r>
    <r>
      <rPr>
        <rFont val="Aptos Narrow"/>
        <b val="0"/>
        <i/>
        <color theme="1"/>
        <sz val="11.0"/>
      </rPr>
      <t>Variables indicating flow-quantity decisions should be non-negative.</t>
    </r>
    <r>
      <rPr>
        <rFont val="Aptos Narrow"/>
        <b val="0"/>
        <color theme="1"/>
        <sz val="11.0"/>
      </rPr>
      <t xml:space="preserve">
</t>
    </r>
    <r>
      <rPr>
        <rFont val="Aptos Narrow"/>
        <b/>
        <color theme="1"/>
        <sz val="11.0"/>
      </rPr>
      <t xml:space="preserve">e) </t>
    </r>
    <r>
      <rPr>
        <rFont val="Aptos Narrow"/>
        <b val="0"/>
        <color theme="1"/>
        <sz val="11.0"/>
      </rPr>
      <t xml:space="preserve">Flow balance constraint (assuming no wastage occurs in product flow from one echelon to 
another):
* </t>
    </r>
    <r>
      <rPr>
        <rFont val="Aptos Narrow"/>
        <b val="0"/>
        <i/>
        <color theme="1"/>
        <sz val="11.0"/>
      </rPr>
      <t>The total outflow from all MPs should be equal to the total outflow from all DCs.</t>
    </r>
    <r>
      <rPr>
        <rFont val="Aptos Narrow"/>
        <b val="0"/>
        <color theme="1"/>
        <sz val="11.0"/>
      </rPr>
      <t xml:space="preserve">
* </t>
    </r>
    <r>
      <rPr>
        <rFont val="Aptos Narrow"/>
        <b val="0"/>
        <i/>
        <color theme="1"/>
        <sz val="11.0"/>
      </rPr>
      <t>The total outflow from all MPs should be equal to the total outflow from all suppliers (a conversion factor might be applicable in this case).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</si>
</sst>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i/>
      <sz val="11.0"/>
      <color theme="1"/>
      <name val="Aptos Narrow"/>
    </font>
    <font/>
    <font>
      <color theme="1"/>
      <name val="Aptos Narrow"/>
      <scheme val="minor"/>
    </font>
    <font>
      <sz val="11.0"/>
      <color theme="1"/>
      <name val="Arial"/>
    </font>
    <font>
      <b/>
      <i/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C1F0C8"/>
        <bgColor rgb="FFC1F0C8"/>
      </patternFill>
    </fill>
    <fill>
      <patternFill patternType="solid">
        <fgColor rgb="FFDBE9F7"/>
        <bgColor rgb="FFDBE9F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horizontal="left"/>
    </xf>
    <xf borderId="0" fillId="0" fontId="5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1" fillId="3" fontId="3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0" fillId="0" fontId="7" numFmtId="0" xfId="0" applyAlignment="1" applyFont="1">
      <alignment horizontal="center"/>
    </xf>
    <xf borderId="4" fillId="3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 shrinkToFit="0" wrapText="1"/>
    </xf>
    <xf borderId="1" fillId="2" fontId="3" numFmtId="0" xfId="0" applyAlignment="1" applyBorder="1" applyFill="1" applyFont="1">
      <alignment horizontal="center" vertical="center"/>
    </xf>
    <xf borderId="0" fillId="0" fontId="3" numFmtId="0" xfId="0" applyFont="1"/>
    <xf borderId="1" fillId="5" fontId="3" numFmtId="0" xfId="0" applyAlignment="1" applyBorder="1" applyFill="1" applyFont="1">
      <alignment horizontal="center"/>
    </xf>
    <xf borderId="0" fillId="0" fontId="1" numFmtId="0" xfId="0" applyAlignment="1" applyFont="1">
      <alignment horizontal="left" vertical="top"/>
    </xf>
    <xf borderId="1" fillId="5" fontId="7" numFmtId="0" xfId="0" applyAlignment="1" applyBorder="1" applyFill="1" applyFont="1">
      <alignment horizontal="center"/>
    </xf>
    <xf borderId="0" fillId="0" fontId="7" numFmtId="0" xfId="0" applyFont="1"/>
    <xf borderId="0" fillId="0" fontId="1" numFmtId="0" xfId="0" applyFont="1"/>
    <xf borderId="4" fillId="3" fontId="3" numFmtId="0" xfId="0" applyAlignment="1" applyBorder="1" applyFill="1" applyFont="1">
      <alignment horizontal="center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32.5"/>
    <col customWidth="1" min="3" max="3" width="14.0"/>
    <col customWidth="1" min="4" max="4" width="11.5"/>
    <col customWidth="1" min="5" max="5" width="24.88"/>
    <col customWidth="1" min="6" max="6" width="12.88"/>
    <col customWidth="1" min="7" max="7" width="21.13"/>
    <col customWidth="1" min="8" max="8" width="13.13"/>
    <col customWidth="1" min="9" max="26" width="8.63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/>
      <c r="H1" s="1"/>
      <c r="I1" s="1"/>
      <c r="J1" s="1"/>
    </row>
    <row r="2" ht="14.25" customHeight="1">
      <c r="A2" s="2" t="s">
        <v>5</v>
      </c>
      <c r="B2" s="1">
        <v>1.0</v>
      </c>
      <c r="C2" s="1">
        <v>3.0</v>
      </c>
      <c r="D2" s="1">
        <v>3.5</v>
      </c>
      <c r="E2" s="1">
        <v>1.5</v>
      </c>
      <c r="F2" s="1">
        <v>20000.0</v>
      </c>
      <c r="G2" s="4" t="s">
        <v>7</v>
      </c>
      <c r="H2" s="5"/>
      <c r="I2" s="6"/>
    </row>
    <row r="3" ht="14.25" customHeight="1">
      <c r="A3" s="2" t="s">
        <v>8</v>
      </c>
      <c r="B3" s="1">
        <v>5.0</v>
      </c>
      <c r="C3" s="1">
        <v>1.75</v>
      </c>
      <c r="D3" s="1">
        <v>2.25</v>
      </c>
      <c r="E3" s="1">
        <v>4.0</v>
      </c>
      <c r="F3" s="1">
        <v>40000.0</v>
      </c>
      <c r="G3" s="1"/>
      <c r="H3" s="1"/>
      <c r="I3" s="1"/>
      <c r="J3" s="1"/>
    </row>
    <row r="4" ht="14.25" customHeight="1">
      <c r="A4" s="2" t="s">
        <v>14</v>
      </c>
      <c r="B4" s="1">
        <v>2.5</v>
      </c>
      <c r="C4" s="1">
        <v>2.5</v>
      </c>
      <c r="D4" s="1">
        <v>1.0</v>
      </c>
      <c r="E4" s="1">
        <v>3.0</v>
      </c>
      <c r="F4" s="1">
        <v>30000.0</v>
      </c>
      <c r="G4" s="1"/>
      <c r="H4" s="1"/>
      <c r="I4" s="1"/>
      <c r="J4" s="1"/>
    </row>
    <row r="5" ht="14.25" customHeight="1">
      <c r="A5" s="2" t="s">
        <v>18</v>
      </c>
      <c r="B5" s="1">
        <v>1.5</v>
      </c>
      <c r="C5" s="1">
        <v>2.5</v>
      </c>
      <c r="D5" s="1">
        <v>3.75</v>
      </c>
      <c r="E5" s="1">
        <v>1.75</v>
      </c>
      <c r="F5" s="1">
        <v>18000.0</v>
      </c>
      <c r="G5" s="1"/>
      <c r="H5" s="1"/>
      <c r="I5" s="1"/>
      <c r="J5" s="1"/>
    </row>
    <row r="6" ht="14.25" customHeight="1">
      <c r="A6" s="2" t="s">
        <v>21</v>
      </c>
      <c r="B6" s="1">
        <v>3.2</v>
      </c>
      <c r="C6" s="1">
        <v>1.75</v>
      </c>
      <c r="D6" s="1">
        <v>2.0</v>
      </c>
      <c r="E6" s="1">
        <v>4.35</v>
      </c>
      <c r="F6" s="1">
        <v>18000.0</v>
      </c>
      <c r="G6" s="1"/>
      <c r="H6" s="1"/>
      <c r="I6" s="1"/>
      <c r="J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ht="14.25" customHeight="1">
      <c r="A8" s="1"/>
      <c r="B8" s="4" t="s">
        <v>28</v>
      </c>
      <c r="C8" s="6"/>
      <c r="D8" s="1"/>
      <c r="E8" s="1"/>
      <c r="F8" s="1"/>
      <c r="G8" s="1"/>
      <c r="H8" s="1"/>
      <c r="I8" s="1"/>
      <c r="J8" s="1"/>
    </row>
    <row r="9" ht="14.25" customHeight="1">
      <c r="H9" s="1"/>
      <c r="I9" s="1"/>
      <c r="J9" s="1"/>
    </row>
    <row r="10" ht="14.25" customHeight="1">
      <c r="A10" s="1"/>
      <c r="B10" s="1"/>
      <c r="C10" s="2" t="s">
        <v>36</v>
      </c>
      <c r="G10" s="1"/>
      <c r="H10" s="1"/>
      <c r="I10" s="1"/>
      <c r="J10" s="1"/>
    </row>
    <row r="11" ht="14.25" customHeight="1">
      <c r="A11" s="1"/>
      <c r="B11" s="1"/>
      <c r="C11" s="1" t="s">
        <v>0</v>
      </c>
      <c r="D11" s="1" t="s">
        <v>1</v>
      </c>
      <c r="E11" s="1" t="s">
        <v>2</v>
      </c>
      <c r="F11" s="1" t="s">
        <v>3</v>
      </c>
      <c r="G11" s="13" t="s">
        <v>39</v>
      </c>
      <c r="H11" s="6"/>
      <c r="I11" s="1"/>
      <c r="J11" s="1"/>
    </row>
    <row r="12" ht="14.25" customHeight="1">
      <c r="A12" s="2" t="s">
        <v>43</v>
      </c>
      <c r="B12" s="1" t="s">
        <v>5</v>
      </c>
      <c r="C12" s="1"/>
      <c r="D12" s="1"/>
      <c r="E12" s="1"/>
      <c r="F12" s="1"/>
      <c r="G12" s="1"/>
      <c r="I12" s="1"/>
      <c r="J12" s="1"/>
    </row>
    <row r="13" ht="14.25" customHeight="1">
      <c r="B13" s="1" t="s">
        <v>8</v>
      </c>
      <c r="C13" s="1"/>
      <c r="D13" s="1"/>
      <c r="E13" s="1"/>
      <c r="F13" s="1"/>
      <c r="G13" s="1"/>
      <c r="I13" s="1"/>
      <c r="J13" s="1"/>
    </row>
    <row r="14" ht="14.25" customHeight="1">
      <c r="B14" s="1" t="s">
        <v>14</v>
      </c>
      <c r="C14" s="1"/>
      <c r="D14" s="1"/>
      <c r="E14" s="1"/>
      <c r="F14" s="1"/>
      <c r="G14" s="1"/>
      <c r="I14" s="1"/>
      <c r="J14" s="1"/>
    </row>
    <row r="15" ht="14.25" customHeight="1">
      <c r="B15" s="1" t="s">
        <v>18</v>
      </c>
      <c r="C15" s="1"/>
      <c r="D15" s="1"/>
      <c r="E15" s="1"/>
      <c r="F15" s="1"/>
      <c r="G15" s="1"/>
      <c r="I15" s="1"/>
      <c r="J15" s="1"/>
    </row>
    <row r="16" ht="14.25" customHeight="1">
      <c r="B16" s="1" t="s">
        <v>21</v>
      </c>
      <c r="C16" s="1"/>
      <c r="D16" s="1"/>
      <c r="E16" s="1"/>
      <c r="F16" s="1"/>
      <c r="G16" s="1"/>
      <c r="I16" s="1"/>
      <c r="J16" s="1"/>
    </row>
    <row r="17" ht="14.25" customHeight="1">
      <c r="A17" s="1"/>
      <c r="B17" s="15" t="s">
        <v>58</v>
      </c>
      <c r="C17" s="1"/>
      <c r="D17" s="1"/>
      <c r="E17" s="1"/>
      <c r="F17" s="1"/>
      <c r="G17" s="1"/>
      <c r="H17" s="1"/>
      <c r="I17" s="1"/>
      <c r="J17" s="1"/>
    </row>
    <row r="18" ht="14.25" customHeight="1">
      <c r="A18" s="1"/>
      <c r="B18" s="2" t="s">
        <v>60</v>
      </c>
      <c r="C18" s="1">
        <v>30000.0</v>
      </c>
      <c r="D18" s="1">
        <v>16200.0</v>
      </c>
      <c r="E18" s="1">
        <v>20160.0</v>
      </c>
      <c r="F18" s="1">
        <v>41640.0</v>
      </c>
      <c r="G18" s="1"/>
      <c r="H18" s="9"/>
    </row>
    <row r="19" ht="14.25" customHeight="1"/>
    <row r="20" ht="14.25" customHeight="1">
      <c r="A20" s="2" t="s">
        <v>62</v>
      </c>
      <c r="B20" s="1" t="s">
        <v>63</v>
      </c>
    </row>
    <row r="21" ht="14.25" customHeight="1">
      <c r="A21" s="2" t="s">
        <v>64</v>
      </c>
      <c r="B21" s="1"/>
      <c r="E21" s="4" t="s">
        <v>65</v>
      </c>
      <c r="F21" s="5"/>
      <c r="G21" s="6"/>
    </row>
    <row r="22" ht="14.25" customHeight="1"/>
    <row r="23" ht="14.25" customHeight="1">
      <c r="C23" s="9"/>
      <c r="E23" s="2" t="s">
        <v>67</v>
      </c>
      <c r="F23" s="8" t="s">
        <v>18</v>
      </c>
    </row>
    <row r="24" ht="14.25" customHeight="1">
      <c r="A24" s="9"/>
      <c r="F24" s="8" t="s">
        <v>21</v>
      </c>
    </row>
    <row r="25" ht="14.25" customHeight="1">
      <c r="E25" s="1" t="s">
        <v>69</v>
      </c>
    </row>
    <row r="26" ht="14.25" customHeight="1"/>
    <row r="27" ht="14.25" customHeight="1">
      <c r="E27" s="16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G14:H14"/>
    <mergeCell ref="G15:H15"/>
    <mergeCell ref="E21:G21"/>
    <mergeCell ref="E23:E24"/>
    <mergeCell ref="E25:F25"/>
    <mergeCell ref="E27:G29"/>
    <mergeCell ref="G2:I2"/>
    <mergeCell ref="B8:C8"/>
    <mergeCell ref="C10:F10"/>
    <mergeCell ref="G11:H11"/>
    <mergeCell ref="A12:A16"/>
    <mergeCell ref="G12:H12"/>
    <mergeCell ref="G13:H13"/>
    <mergeCell ref="G16:H1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8.5"/>
    <col customWidth="1" min="3" max="3" width="33.38"/>
    <col customWidth="1" min="4" max="4" width="16.25"/>
    <col customWidth="1" min="5" max="5" width="29.75"/>
    <col customWidth="1" min="6" max="6" width="21.88"/>
    <col customWidth="1" min="7" max="7" width="26.63"/>
    <col customWidth="1" min="8" max="8" width="32.88"/>
    <col customWidth="1" min="9" max="9" width="27.88"/>
    <col customWidth="1" min="10" max="10" width="16.0"/>
    <col customWidth="1" min="11" max="11" width="9.25"/>
    <col customWidth="1" min="12" max="12" width="14.38"/>
    <col customWidth="1" min="13" max="13" width="14.75"/>
    <col customWidth="1" min="14" max="14" width="9.88"/>
    <col customWidth="1" min="15" max="15" width="12.88"/>
    <col customWidth="1" min="16" max="16" width="8.75"/>
    <col customWidth="1" min="17" max="26" width="8.63"/>
  </cols>
  <sheetData>
    <row r="1" ht="14.25" customHeight="1">
      <c r="A1" s="4" t="s">
        <v>23</v>
      </c>
      <c r="B1" s="5"/>
      <c r="C1" s="6"/>
      <c r="D1" s="9"/>
      <c r="E1" s="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2" t="s">
        <v>38</v>
      </c>
      <c r="B3" s="5"/>
      <c r="C3" s="6"/>
      <c r="D3" s="1"/>
      <c r="E3" s="12" t="s">
        <v>42</v>
      </c>
      <c r="F3" s="5"/>
      <c r="G3" s="6"/>
      <c r="H3" s="1"/>
      <c r="I3" s="1"/>
      <c r="J3" s="12" t="s">
        <v>45</v>
      </c>
      <c r="K3" s="5"/>
      <c r="L3" s="5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" t="s">
        <v>49</v>
      </c>
      <c r="B4" s="2" t="s">
        <v>50</v>
      </c>
      <c r="C4" s="2" t="s">
        <v>51</v>
      </c>
      <c r="D4" s="1"/>
      <c r="E4" s="2" t="s">
        <v>53</v>
      </c>
      <c r="F4" s="2" t="s">
        <v>24</v>
      </c>
      <c r="G4" s="2" t="s">
        <v>4</v>
      </c>
      <c r="H4" s="1"/>
      <c r="I4" s="1"/>
      <c r="J4" s="2" t="s">
        <v>55</v>
      </c>
      <c r="K4" s="1" t="s">
        <v>56</v>
      </c>
      <c r="L4" s="1" t="s">
        <v>57</v>
      </c>
      <c r="M4" s="1" t="s">
        <v>11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>
        <v>1.0</v>
      </c>
      <c r="B5" s="1" t="s">
        <v>59</v>
      </c>
      <c r="C5" s="1">
        <v>15000.0</v>
      </c>
      <c r="D5" s="1"/>
      <c r="E5" s="1">
        <v>1.0</v>
      </c>
      <c r="F5" s="1" t="s">
        <v>61</v>
      </c>
      <c r="G5" s="1">
        <v>40000.0</v>
      </c>
      <c r="H5" s="1"/>
      <c r="I5" s="1"/>
      <c r="J5" s="1" t="s">
        <v>61</v>
      </c>
      <c r="K5" s="1">
        <v>25.0</v>
      </c>
      <c r="L5" s="1">
        <v>85.0</v>
      </c>
      <c r="M5" s="1">
        <v>45.0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>
        <v>2.0</v>
      </c>
      <c r="B6" s="1" t="s">
        <v>66</v>
      </c>
      <c r="C6" s="1">
        <v>18000.0</v>
      </c>
      <c r="D6" s="1"/>
      <c r="E6" s="1">
        <v>2.0</v>
      </c>
      <c r="F6" s="1" t="s">
        <v>68</v>
      </c>
      <c r="G6" s="1">
        <v>45000.0</v>
      </c>
      <c r="H6" s="1"/>
      <c r="I6" s="1"/>
      <c r="J6" s="1" t="s">
        <v>68</v>
      </c>
      <c r="K6" s="1">
        <v>65.0</v>
      </c>
      <c r="L6" s="1">
        <v>70.0</v>
      </c>
      <c r="M6" s="1">
        <v>55.0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>
        <v>3.0</v>
      </c>
      <c r="B7" s="1" t="s">
        <v>33</v>
      </c>
      <c r="C7" s="1">
        <v>12000.0</v>
      </c>
      <c r="D7" s="1"/>
      <c r="E7" s="1">
        <v>3.0</v>
      </c>
      <c r="F7" s="1" t="s">
        <v>70</v>
      </c>
      <c r="G7" s="1">
        <v>35000.0</v>
      </c>
      <c r="H7" s="1"/>
      <c r="I7" s="1"/>
      <c r="J7" s="1" t="s">
        <v>70</v>
      </c>
      <c r="K7" s="1">
        <v>75.0</v>
      </c>
      <c r="L7" s="1">
        <v>30.0</v>
      </c>
      <c r="M7" s="1">
        <v>50.0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>
        <v>4.0</v>
      </c>
      <c r="B8" s="1" t="s">
        <v>37</v>
      </c>
      <c r="C8" s="1">
        <v>10000.0</v>
      </c>
      <c r="D8" s="1"/>
      <c r="E8" s="1"/>
      <c r="F8" s="2" t="s">
        <v>71</v>
      </c>
      <c r="G8" s="1">
        <f>SUM(G5:G7)</f>
        <v>120000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>
        <v>5.0</v>
      </c>
      <c r="B9" s="1" t="s">
        <v>72</v>
      </c>
      <c r="C9" s="1">
        <v>9000.0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>
        <v>6.0</v>
      </c>
      <c r="B10" s="1" t="s">
        <v>74</v>
      </c>
      <c r="C10" s="1">
        <v>8000.0</v>
      </c>
      <c r="D10" s="1"/>
      <c r="E10" s="12" t="s">
        <v>77</v>
      </c>
      <c r="F10" s="5"/>
      <c r="G10" s="5"/>
      <c r="H10" s="6"/>
      <c r="I10" s="1"/>
      <c r="J10" s="12" t="s">
        <v>82</v>
      </c>
      <c r="K10" s="5"/>
      <c r="L10" s="5"/>
      <c r="M10" s="5"/>
      <c r="N10" s="5"/>
      <c r="O10" s="6"/>
      <c r="P10" s="1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" t="s">
        <v>89</v>
      </c>
      <c r="C11" s="1">
        <f>SUM(C5:C10)</f>
        <v>72000</v>
      </c>
      <c r="D11" s="1"/>
      <c r="E11" s="2" t="s">
        <v>92</v>
      </c>
      <c r="F11" s="2" t="s">
        <v>94</v>
      </c>
      <c r="G11" s="2" t="s">
        <v>95</v>
      </c>
      <c r="H11" s="2" t="s">
        <v>96</v>
      </c>
      <c r="I11" s="1"/>
      <c r="J11" s="2" t="s">
        <v>97</v>
      </c>
      <c r="K11" s="1" t="s">
        <v>12</v>
      </c>
      <c r="L11" s="1" t="s">
        <v>98</v>
      </c>
      <c r="M11" s="1" t="s">
        <v>99</v>
      </c>
      <c r="N11" s="1" t="s">
        <v>100</v>
      </c>
      <c r="O11" s="1" t="s">
        <v>101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>
        <v>1.0</v>
      </c>
      <c r="F12" s="1" t="s">
        <v>56</v>
      </c>
      <c r="G12" s="1">
        <v>2.5E7</v>
      </c>
      <c r="H12" s="1">
        <v>40000.0</v>
      </c>
      <c r="I12" s="1"/>
      <c r="J12" s="1" t="s">
        <v>56</v>
      </c>
      <c r="K12" s="1">
        <v>50.0</v>
      </c>
      <c r="L12" s="1">
        <v>35.0</v>
      </c>
      <c r="M12" s="1">
        <v>55.0</v>
      </c>
      <c r="N12" s="1">
        <v>80.0</v>
      </c>
      <c r="O12" s="1">
        <v>95.0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4" t="s">
        <v>104</v>
      </c>
      <c r="B13" s="5"/>
      <c r="C13" s="6"/>
      <c r="D13" s="1"/>
      <c r="E13" s="1">
        <v>2.0</v>
      </c>
      <c r="F13" s="1" t="s">
        <v>57</v>
      </c>
      <c r="G13" s="1">
        <v>2.2E7</v>
      </c>
      <c r="H13" s="1">
        <v>35000.0</v>
      </c>
      <c r="I13" s="1"/>
      <c r="J13" s="1" t="s">
        <v>57</v>
      </c>
      <c r="K13" s="1">
        <v>60.0</v>
      </c>
      <c r="L13" s="1">
        <v>75.0</v>
      </c>
      <c r="M13" s="1">
        <v>110.0</v>
      </c>
      <c r="N13" s="1">
        <v>25.0</v>
      </c>
      <c r="O13" s="1">
        <v>90.0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>
        <v>3.0</v>
      </c>
      <c r="F14" s="1" t="s">
        <v>11</v>
      </c>
      <c r="G14" s="1">
        <v>2.8E7</v>
      </c>
      <c r="H14" s="1">
        <v>45000.0</v>
      </c>
      <c r="I14" s="1"/>
      <c r="J14" s="1" t="s">
        <v>11</v>
      </c>
      <c r="K14" s="1">
        <v>40.0</v>
      </c>
      <c r="L14" s="1">
        <v>25.0</v>
      </c>
      <c r="M14" s="1">
        <v>70.0</v>
      </c>
      <c r="N14" s="1">
        <v>60.0</v>
      </c>
      <c r="O14" s="1">
        <v>85.0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2" t="s">
        <v>105</v>
      </c>
      <c r="B15" s="5"/>
      <c r="C15" s="6"/>
      <c r="D15" s="1"/>
      <c r="E15" s="1"/>
      <c r="F15" s="1"/>
      <c r="G15" s="2" t="s">
        <v>106</v>
      </c>
      <c r="H15" s="1">
        <f>SUM(H12:H14)</f>
        <v>120000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2" t="s">
        <v>107</v>
      </c>
      <c r="B16" s="2" t="s">
        <v>108</v>
      </c>
      <c r="C16" s="2" t="s">
        <v>109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>
        <v>1.0</v>
      </c>
      <c r="B17" s="1"/>
      <c r="C17" s="1"/>
      <c r="D17" s="1"/>
      <c r="E17" s="12" t="s">
        <v>110</v>
      </c>
      <c r="F17" s="5"/>
      <c r="G17" s="5"/>
      <c r="H17" s="6"/>
      <c r="I17" s="1"/>
      <c r="J17" s="12" t="s">
        <v>111</v>
      </c>
      <c r="K17" s="5"/>
      <c r="L17" s="5"/>
      <c r="M17" s="5"/>
      <c r="N17" s="5"/>
      <c r="O17" s="5"/>
      <c r="P17" s="6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>
        <v>2.0</v>
      </c>
      <c r="B18" s="1"/>
      <c r="C18" s="1"/>
      <c r="D18" s="1"/>
      <c r="E18" s="2" t="s">
        <v>112</v>
      </c>
      <c r="F18" s="2" t="s">
        <v>94</v>
      </c>
      <c r="G18" s="2" t="s">
        <v>95</v>
      </c>
      <c r="H18" s="2" t="s">
        <v>113</v>
      </c>
      <c r="I18" s="1"/>
      <c r="J18" s="2" t="s">
        <v>114</v>
      </c>
      <c r="K18" s="1" t="s">
        <v>59</v>
      </c>
      <c r="L18" s="1" t="s">
        <v>66</v>
      </c>
      <c r="M18" s="1" t="s">
        <v>33</v>
      </c>
      <c r="N18" s="1" t="s">
        <v>37</v>
      </c>
      <c r="O18" s="1" t="s">
        <v>72</v>
      </c>
      <c r="P18" s="1" t="s">
        <v>74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>
        <v>3.0</v>
      </c>
      <c r="B19" s="1"/>
      <c r="C19" s="1"/>
      <c r="D19" s="1"/>
      <c r="E19" s="1">
        <v>1.0</v>
      </c>
      <c r="F19" s="1" t="s">
        <v>12</v>
      </c>
      <c r="G19" s="1">
        <v>8000000.0</v>
      </c>
      <c r="H19" s="1">
        <v>30000.0</v>
      </c>
      <c r="I19" s="1"/>
      <c r="J19" s="1" t="s">
        <v>12</v>
      </c>
      <c r="K19" s="1">
        <v>55.0</v>
      </c>
      <c r="L19" s="1">
        <v>45.0</v>
      </c>
      <c r="M19" s="1">
        <v>50.0</v>
      </c>
      <c r="N19" s="1">
        <v>55.0</v>
      </c>
      <c r="O19" s="1">
        <v>35.0</v>
      </c>
      <c r="P19" s="1">
        <v>60.0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>
        <v>2.0</v>
      </c>
      <c r="F20" s="1" t="s">
        <v>98</v>
      </c>
      <c r="G20" s="1">
        <v>1.0E7</v>
      </c>
      <c r="H20" s="1">
        <v>35000.0</v>
      </c>
      <c r="I20" s="1"/>
      <c r="J20" s="1" t="s">
        <v>98</v>
      </c>
      <c r="K20" s="1">
        <v>80.0</v>
      </c>
      <c r="L20" s="1">
        <v>15.0</v>
      </c>
      <c r="M20" s="1">
        <v>65.0</v>
      </c>
      <c r="N20" s="1">
        <v>75.0</v>
      </c>
      <c r="O20" s="1">
        <v>50.0</v>
      </c>
      <c r="P20" s="1">
        <v>100.0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2" t="s">
        <v>115</v>
      </c>
      <c r="B21" s="2" t="s">
        <v>108</v>
      </c>
      <c r="C21" s="2" t="s">
        <v>116</v>
      </c>
      <c r="D21" s="1"/>
      <c r="E21" s="1">
        <v>3.0</v>
      </c>
      <c r="F21" s="1" t="s">
        <v>99</v>
      </c>
      <c r="G21" s="1">
        <v>9500000.0</v>
      </c>
      <c r="H21" s="1">
        <v>25000.0</v>
      </c>
      <c r="I21" s="1"/>
      <c r="J21" s="1" t="s">
        <v>99</v>
      </c>
      <c r="K21" s="1">
        <v>15.0</v>
      </c>
      <c r="L21" s="1">
        <v>85.0</v>
      </c>
      <c r="M21" s="1">
        <v>110.0</v>
      </c>
      <c r="N21" s="1">
        <v>120.0</v>
      </c>
      <c r="O21" s="1">
        <v>85.0</v>
      </c>
      <c r="P21" s="1">
        <v>75.0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>
        <v>1.0</v>
      </c>
      <c r="B22" s="1"/>
      <c r="C22" s="1"/>
      <c r="D22" s="1"/>
      <c r="E22" s="1">
        <v>4.0</v>
      </c>
      <c r="F22" s="1" t="s">
        <v>100</v>
      </c>
      <c r="G22" s="1">
        <v>8500000.0</v>
      </c>
      <c r="H22" s="1">
        <v>25000.0</v>
      </c>
      <c r="I22" s="1"/>
      <c r="J22" s="1" t="s">
        <v>100</v>
      </c>
      <c r="K22" s="1">
        <v>115.0</v>
      </c>
      <c r="L22" s="1">
        <v>70.0</v>
      </c>
      <c r="M22" s="1">
        <v>20.0</v>
      </c>
      <c r="N22" s="1">
        <v>25.0</v>
      </c>
      <c r="O22" s="1">
        <v>45.0</v>
      </c>
      <c r="P22" s="1">
        <v>95.0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>
        <v>2.0</v>
      </c>
      <c r="B23" s="1"/>
      <c r="C23" s="1"/>
      <c r="D23" s="1"/>
      <c r="E23" s="1">
        <v>5.0</v>
      </c>
      <c r="F23" s="1" t="s">
        <v>101</v>
      </c>
      <c r="G23" s="1">
        <v>7500000.0</v>
      </c>
      <c r="H23" s="1">
        <v>20000.0</v>
      </c>
      <c r="I23" s="1"/>
      <c r="J23" s="1" t="s">
        <v>101</v>
      </c>
      <c r="K23" s="1">
        <v>80.0</v>
      </c>
      <c r="L23" s="1">
        <v>105.0</v>
      </c>
      <c r="M23" s="1">
        <v>100.0</v>
      </c>
      <c r="N23" s="1">
        <v>95.0</v>
      </c>
      <c r="O23" s="1">
        <v>75.0</v>
      </c>
      <c r="P23" s="1">
        <v>15.0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>
        <v>3.0</v>
      </c>
      <c r="B24" s="1"/>
      <c r="C24" s="1"/>
      <c r="D24" s="1"/>
      <c r="E24" s="1"/>
      <c r="F24" s="1"/>
      <c r="G24" s="2" t="s">
        <v>117</v>
      </c>
      <c r="H24" s="1">
        <f>SUM(H19:H23)</f>
        <v>135000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>
        <v>4.0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>
        <v>5.0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2" t="s">
        <v>118</v>
      </c>
      <c r="B28" s="5"/>
      <c r="C28" s="5"/>
      <c r="D28" s="6"/>
      <c r="E28" s="1"/>
      <c r="F28" s="1"/>
      <c r="G28" s="1"/>
      <c r="H28" s="1"/>
      <c r="I28" s="4" t="s">
        <v>62</v>
      </c>
      <c r="J28" s="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2" t="s">
        <v>55</v>
      </c>
      <c r="B29" s="1" t="s">
        <v>56</v>
      </c>
      <c r="C29" s="1" t="s">
        <v>57</v>
      </c>
      <c r="D29" s="1" t="s">
        <v>11</v>
      </c>
      <c r="E29" s="2" t="s">
        <v>119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 t="s">
        <v>61</v>
      </c>
      <c r="B30" s="1"/>
      <c r="C30" s="1"/>
      <c r="D30" s="1"/>
      <c r="E30" s="1"/>
      <c r="F30" s="1"/>
      <c r="G30" s="1"/>
      <c r="H30" s="1"/>
      <c r="I30" s="1" t="s">
        <v>120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 t="s">
        <v>68</v>
      </c>
      <c r="B31" s="1"/>
      <c r="C31" s="1"/>
      <c r="D31" s="1"/>
      <c r="E31" s="1"/>
      <c r="F31" s="1"/>
      <c r="G31" s="1"/>
      <c r="H31" s="1"/>
      <c r="I31" s="1" t="s">
        <v>121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 t="s">
        <v>70</v>
      </c>
      <c r="B32" s="1"/>
      <c r="C32" s="1"/>
      <c r="D32" s="1"/>
      <c r="E32" s="1"/>
      <c r="F32" s="1"/>
      <c r="G32" s="1"/>
      <c r="H32" s="1"/>
      <c r="I32" s="1" t="s">
        <v>122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6" t="s">
        <v>123</v>
      </c>
      <c r="B33" s="1"/>
      <c r="C33" s="1"/>
      <c r="D33" s="1"/>
      <c r="E33" s="1"/>
      <c r="F33" s="1"/>
      <c r="G33" s="1"/>
      <c r="H33" s="1"/>
      <c r="I33" s="1" t="s">
        <v>124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 t="s">
        <v>125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2" t="s">
        <v>97</v>
      </c>
      <c r="B35" s="1" t="s">
        <v>12</v>
      </c>
      <c r="C35" s="1" t="s">
        <v>98</v>
      </c>
      <c r="D35" s="1" t="s">
        <v>99</v>
      </c>
      <c r="E35" s="1" t="s">
        <v>100</v>
      </c>
      <c r="F35" s="1" t="s">
        <v>101</v>
      </c>
      <c r="G35" s="2" t="s">
        <v>126</v>
      </c>
      <c r="H35" s="1"/>
      <c r="I35" s="24" t="s">
        <v>127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 t="s">
        <v>56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 t="s">
        <v>57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 t="s">
        <v>11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6" t="s">
        <v>128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" t="s">
        <v>114</v>
      </c>
      <c r="B41" s="1" t="s">
        <v>59</v>
      </c>
      <c r="C41" s="1" t="s">
        <v>66</v>
      </c>
      <c r="D41" s="1" t="s">
        <v>33</v>
      </c>
      <c r="E41" s="1" t="s">
        <v>37</v>
      </c>
      <c r="F41" s="1" t="s">
        <v>72</v>
      </c>
      <c r="G41" s="1" t="s">
        <v>74</v>
      </c>
      <c r="H41" s="2" t="s">
        <v>129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 t="s">
        <v>12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 t="s">
        <v>98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 t="s">
        <v>99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 t="s">
        <v>100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 t="s">
        <v>101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6" t="s">
        <v>130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2" t="s">
        <v>131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2" t="s">
        <v>132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2" t="s">
        <v>133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25" t="s">
        <v>134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A15:C15"/>
    <mergeCell ref="E17:H17"/>
    <mergeCell ref="J17:P17"/>
    <mergeCell ref="A28:D28"/>
    <mergeCell ref="I28:J28"/>
    <mergeCell ref="E53:G64"/>
    <mergeCell ref="A1:C1"/>
    <mergeCell ref="A3:C3"/>
    <mergeCell ref="E3:G3"/>
    <mergeCell ref="J3:M3"/>
    <mergeCell ref="E10:H10"/>
    <mergeCell ref="J10:O10"/>
    <mergeCell ref="A13:C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88"/>
    <col customWidth="1" min="2" max="2" width="9.63"/>
    <col customWidth="1" min="3" max="3" width="9.5"/>
    <col customWidth="1" min="4" max="4" width="9.13"/>
    <col customWidth="1" min="5" max="5" width="8.63"/>
    <col customWidth="1" min="6" max="6" width="10.13"/>
    <col customWidth="1" min="7" max="26" width="8.63"/>
  </cols>
  <sheetData>
    <row r="1" ht="14.25" customHeight="1">
      <c r="C1" s="3" t="s">
        <v>6</v>
      </c>
      <c r="D1" s="5"/>
      <c r="E1" s="5"/>
      <c r="F1" s="6"/>
    </row>
    <row r="2" ht="14.25" customHeight="1">
      <c r="A2" s="7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15</v>
      </c>
    </row>
    <row r="3" ht="14.25" customHeight="1">
      <c r="A3" s="8" t="s">
        <v>16</v>
      </c>
      <c r="B3" s="1">
        <v>0.25</v>
      </c>
      <c r="C3" s="1">
        <v>60.0</v>
      </c>
      <c r="D3" s="1">
        <v>85.0</v>
      </c>
      <c r="E3" s="1">
        <v>80.0</v>
      </c>
      <c r="F3" s="1">
        <v>75.0</v>
      </c>
    </row>
    <row r="4" ht="14.25" customHeight="1">
      <c r="A4" s="8" t="s">
        <v>17</v>
      </c>
      <c r="B4" s="1">
        <v>0.2</v>
      </c>
      <c r="C4" s="1">
        <v>90.0</v>
      </c>
      <c r="D4" s="1">
        <v>80.0</v>
      </c>
      <c r="E4" s="1">
        <v>70.0</v>
      </c>
      <c r="F4" s="1">
        <v>85.0</v>
      </c>
    </row>
    <row r="5" ht="14.25" customHeight="1">
      <c r="A5" s="8" t="s">
        <v>19</v>
      </c>
      <c r="B5" s="1">
        <v>0.2</v>
      </c>
      <c r="C5" s="1">
        <v>85.0</v>
      </c>
      <c r="D5" s="1">
        <v>75.0</v>
      </c>
      <c r="E5" s="1">
        <v>70.0</v>
      </c>
      <c r="F5" s="1">
        <v>90.0</v>
      </c>
    </row>
    <row r="6" ht="14.25" customHeight="1">
      <c r="A6" s="8" t="s">
        <v>20</v>
      </c>
      <c r="B6" s="1">
        <v>0.15</v>
      </c>
      <c r="C6" s="1">
        <v>95.0</v>
      </c>
      <c r="D6" s="1">
        <v>65.0</v>
      </c>
      <c r="E6" s="1">
        <v>60.0</v>
      </c>
      <c r="F6" s="1">
        <v>70.0</v>
      </c>
    </row>
    <row r="7" ht="14.25" customHeight="1">
      <c r="A7" s="8" t="s">
        <v>22</v>
      </c>
      <c r="B7" s="1">
        <v>0.1</v>
      </c>
      <c r="C7" s="1">
        <v>65.0</v>
      </c>
      <c r="D7" s="1">
        <v>90.0</v>
      </c>
      <c r="E7" s="1">
        <v>85.0</v>
      </c>
      <c r="F7" s="1">
        <v>75.0</v>
      </c>
    </row>
    <row r="8" ht="14.25" customHeight="1">
      <c r="A8" s="8" t="s">
        <v>25</v>
      </c>
      <c r="B8" s="1">
        <v>0.1</v>
      </c>
      <c r="C8" s="1">
        <v>90.0</v>
      </c>
      <c r="D8" s="1">
        <v>70.0</v>
      </c>
      <c r="E8" s="1">
        <v>75.0</v>
      </c>
      <c r="F8" s="1">
        <v>80.0</v>
      </c>
    </row>
    <row r="9" ht="14.25" customHeight="1">
      <c r="A9" s="7" t="s">
        <v>26</v>
      </c>
      <c r="B9" s="1">
        <f>SUM(B3:B8)</f>
        <v>1</v>
      </c>
      <c r="C9" s="1"/>
      <c r="D9" s="1"/>
      <c r="E9" s="1"/>
      <c r="F9" s="1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:F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7.5"/>
    <col customWidth="1" min="3" max="3" width="20.13"/>
    <col customWidth="1" min="4" max="4" width="20.5"/>
    <col customWidth="1" min="5" max="5" width="12.13"/>
    <col customWidth="1" min="6" max="6" width="12.0"/>
    <col customWidth="1" min="7" max="26" width="8.63"/>
  </cols>
  <sheetData>
    <row r="1" ht="14.25" customHeight="1">
      <c r="A1" s="9" t="s">
        <v>24</v>
      </c>
      <c r="B1" s="9" t="s">
        <v>27</v>
      </c>
      <c r="C1" s="9" t="s">
        <v>29</v>
      </c>
      <c r="D1" s="9" t="s">
        <v>30</v>
      </c>
      <c r="E1" s="9" t="s">
        <v>31</v>
      </c>
      <c r="F1" s="9" t="s">
        <v>32</v>
      </c>
    </row>
    <row r="2" ht="14.25" customHeight="1">
      <c r="A2" s="8" t="s">
        <v>33</v>
      </c>
      <c r="B2" s="10">
        <v>150.0</v>
      </c>
      <c r="C2" s="10">
        <v>200.0</v>
      </c>
      <c r="D2" s="10">
        <v>1200.0</v>
      </c>
      <c r="E2" s="11" t="s">
        <v>34</v>
      </c>
      <c r="F2" s="10"/>
    </row>
    <row r="3" ht="14.25" customHeight="1">
      <c r="A3" s="8" t="s">
        <v>35</v>
      </c>
      <c r="B3" s="10">
        <v>100.0</v>
      </c>
      <c r="C3" s="10">
        <v>150.0</v>
      </c>
      <c r="D3" s="10">
        <v>450.0</v>
      </c>
      <c r="E3" s="10"/>
      <c r="F3" s="10"/>
    </row>
    <row r="4" ht="14.25" customHeight="1">
      <c r="A4" s="8" t="s">
        <v>37</v>
      </c>
      <c r="B4" s="10">
        <v>450.0</v>
      </c>
      <c r="C4" s="10">
        <v>220.0</v>
      </c>
      <c r="D4" s="10">
        <v>1500.0</v>
      </c>
      <c r="E4" s="10"/>
      <c r="F4" s="10"/>
    </row>
    <row r="5" ht="14.25" customHeight="1">
      <c r="A5" s="8" t="s">
        <v>40</v>
      </c>
      <c r="B5" s="10">
        <v>200.0</v>
      </c>
      <c r="C5" s="10">
        <v>80.0</v>
      </c>
      <c r="D5" s="10">
        <v>800.0</v>
      </c>
      <c r="E5" s="10"/>
      <c r="F5" s="10"/>
    </row>
    <row r="6" ht="14.25" customHeight="1">
      <c r="A6" s="8" t="s">
        <v>41</v>
      </c>
      <c r="B6" s="10">
        <v>380.0</v>
      </c>
      <c r="C6" s="10">
        <v>260.0</v>
      </c>
      <c r="D6" s="10">
        <v>600.0</v>
      </c>
      <c r="E6" s="10"/>
      <c r="F6" s="10"/>
    </row>
    <row r="7" ht="14.25" customHeight="1"/>
    <row r="8" ht="14.25" customHeight="1">
      <c r="C8" s="9" t="s">
        <v>44</v>
      </c>
      <c r="D8" s="10"/>
    </row>
    <row r="9" ht="14.25" customHeight="1">
      <c r="C9" s="9" t="s">
        <v>46</v>
      </c>
      <c r="D9" s="10"/>
    </row>
    <row r="10" ht="14.25" customHeight="1">
      <c r="C10" s="9" t="s">
        <v>47</v>
      </c>
      <c r="D10" s="10"/>
    </row>
    <row r="11" ht="14.25" customHeight="1"/>
    <row r="12" ht="14.25" customHeight="1">
      <c r="C12" s="14" t="s">
        <v>48</v>
      </c>
    </row>
    <row r="13" ht="14.25" customHeight="1">
      <c r="C13" s="8" t="s">
        <v>52</v>
      </c>
      <c r="D13" s="10"/>
    </row>
    <row r="14" ht="14.25" customHeight="1">
      <c r="C14" s="8" t="s">
        <v>54</v>
      </c>
      <c r="D14" s="10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2:D1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12.88"/>
    <col customWidth="1" min="3" max="3" width="12.13"/>
    <col customWidth="1" min="4" max="4" width="28.88"/>
    <col customWidth="1" min="5" max="5" width="13.38"/>
    <col customWidth="1" min="6" max="6" width="13.25"/>
    <col customWidth="1" min="7" max="7" width="12.38"/>
    <col customWidth="1" min="8" max="8" width="12.63"/>
    <col customWidth="1" min="9" max="9" width="13.63"/>
    <col customWidth="1" min="10" max="10" width="11.5"/>
    <col customWidth="1" min="11" max="26" width="8.63"/>
  </cols>
  <sheetData>
    <row r="1" ht="14.25" customHeight="1">
      <c r="A1" s="17" t="s">
        <v>73</v>
      </c>
      <c r="B1" s="5"/>
      <c r="C1" s="5"/>
      <c r="D1" s="6"/>
    </row>
    <row r="2" ht="14.25" customHeight="1">
      <c r="A2" s="9" t="s">
        <v>75</v>
      </c>
      <c r="B2" s="9" t="s">
        <v>76</v>
      </c>
      <c r="C2" s="9" t="s">
        <v>78</v>
      </c>
      <c r="D2" s="9" t="s">
        <v>79</v>
      </c>
    </row>
    <row r="3" ht="14.25" customHeight="1">
      <c r="A3" s="8" t="s">
        <v>80</v>
      </c>
      <c r="B3" s="10">
        <v>15.0</v>
      </c>
      <c r="C3" s="10">
        <v>20.0</v>
      </c>
      <c r="D3" s="10">
        <v>45.0</v>
      </c>
    </row>
    <row r="4" ht="14.25" customHeight="1">
      <c r="A4" s="8" t="s">
        <v>81</v>
      </c>
      <c r="B4" s="10">
        <v>25.0</v>
      </c>
      <c r="C4" s="10">
        <v>22.0</v>
      </c>
      <c r="D4" s="10">
        <v>28.0</v>
      </c>
    </row>
    <row r="5" ht="14.25" customHeight="1">
      <c r="A5" s="8" t="s">
        <v>83</v>
      </c>
      <c r="B5" s="10">
        <v>12.0</v>
      </c>
      <c r="C5" s="10">
        <v>14.0</v>
      </c>
      <c r="D5" s="10">
        <v>30.0</v>
      </c>
    </row>
    <row r="6" ht="14.25" customHeight="1">
      <c r="A6" s="8" t="s">
        <v>84</v>
      </c>
      <c r="B6" s="10">
        <v>14.0</v>
      </c>
      <c r="C6" s="10">
        <v>5.0</v>
      </c>
      <c r="D6" s="10">
        <v>49.0</v>
      </c>
    </row>
    <row r="7" ht="14.25" customHeight="1">
      <c r="A7" s="8" t="s">
        <v>85</v>
      </c>
      <c r="B7" s="10">
        <v>10.0</v>
      </c>
      <c r="C7" s="10">
        <v>30.0</v>
      </c>
      <c r="D7" s="10">
        <v>55.0</v>
      </c>
    </row>
    <row r="8" ht="14.25" customHeight="1"/>
    <row r="9" ht="14.25" customHeight="1">
      <c r="A9" s="3" t="s">
        <v>86</v>
      </c>
      <c r="B9" s="5"/>
      <c r="C9" s="6"/>
      <c r="E9" s="19" t="s">
        <v>87</v>
      </c>
      <c r="F9" s="5"/>
      <c r="G9" s="5"/>
      <c r="H9" s="5"/>
      <c r="I9" s="5"/>
      <c r="J9" s="6"/>
    </row>
    <row r="10" ht="14.25" customHeight="1">
      <c r="A10" s="9" t="s">
        <v>88</v>
      </c>
      <c r="B10" s="9" t="s">
        <v>76</v>
      </c>
      <c r="C10" s="9" t="s">
        <v>78</v>
      </c>
      <c r="F10" s="7" t="s">
        <v>80</v>
      </c>
      <c r="G10" s="7" t="s">
        <v>81</v>
      </c>
      <c r="H10" s="7" t="s">
        <v>83</v>
      </c>
      <c r="I10" s="7" t="s">
        <v>84</v>
      </c>
      <c r="J10" s="7" t="s">
        <v>85</v>
      </c>
    </row>
    <row r="11" ht="14.25" customHeight="1">
      <c r="A11" s="8" t="s">
        <v>90</v>
      </c>
      <c r="B11" s="20">
        <v>12.0</v>
      </c>
      <c r="C11" s="20">
        <v>28.0</v>
      </c>
      <c r="E11" s="9" t="s">
        <v>90</v>
      </c>
      <c r="F11" s="10"/>
      <c r="G11" s="10"/>
      <c r="H11" s="10"/>
      <c r="I11" s="10"/>
      <c r="J11" s="10"/>
    </row>
    <row r="12" ht="14.25" customHeight="1">
      <c r="A12" s="8" t="s">
        <v>91</v>
      </c>
      <c r="B12" s="20">
        <v>20.0</v>
      </c>
      <c r="C12" s="20">
        <v>18.0</v>
      </c>
      <c r="E12" s="9" t="s">
        <v>91</v>
      </c>
      <c r="F12" s="10"/>
      <c r="G12" s="10"/>
      <c r="H12" s="10"/>
      <c r="I12" s="10"/>
      <c r="J12" s="10"/>
    </row>
    <row r="13" ht="14.25" customHeight="1">
      <c r="A13" s="8" t="s">
        <v>93</v>
      </c>
      <c r="B13" s="20">
        <v>13.0</v>
      </c>
      <c r="C13" s="20">
        <v>12.0</v>
      </c>
      <c r="E13" s="9" t="s">
        <v>93</v>
      </c>
      <c r="F13" s="10"/>
      <c r="G13" s="10"/>
      <c r="H13" s="10"/>
      <c r="I13" s="10"/>
      <c r="J13" s="10"/>
    </row>
    <row r="14" ht="14.25" customHeight="1"/>
    <row r="15" ht="14.25" customHeight="1"/>
    <row r="16" ht="14.25" customHeight="1">
      <c r="E16" s="21" t="s">
        <v>102</v>
      </c>
      <c r="F16" s="5"/>
      <c r="G16" s="5"/>
      <c r="H16" s="6"/>
      <c r="I16" s="22"/>
      <c r="J16" s="22"/>
    </row>
    <row r="17" ht="14.25" customHeight="1">
      <c r="F17" s="9" t="s">
        <v>88</v>
      </c>
      <c r="G17" s="9" t="s">
        <v>103</v>
      </c>
    </row>
    <row r="18" ht="14.25" customHeight="1">
      <c r="F18" s="8" t="s">
        <v>90</v>
      </c>
      <c r="G18" s="23"/>
    </row>
    <row r="19" ht="14.25" customHeight="1">
      <c r="F19" s="8" t="s">
        <v>91</v>
      </c>
      <c r="G19" s="23"/>
    </row>
    <row r="20" ht="14.25" customHeight="1">
      <c r="F20" s="8" t="s">
        <v>93</v>
      </c>
      <c r="G20" s="23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A9:C9"/>
    <mergeCell ref="E9:J9"/>
    <mergeCell ref="E16:H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2026-08-10T05:54:32Z</dcterms:created>
  <dc:creator>HS24D006 Shiva Muthukumar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0x010100655B7AE822669B429B3900391667F794</vt:lpwstr>
  </property>
</Properties>
</file>