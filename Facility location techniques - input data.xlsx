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TM" sheetId="1" state="visible" r:id="rId1"/>
    <sheet name="SCND" sheetId="2" state="visible" r:id="rId2"/>
    <sheet name="Location factor rating" sheetId="3" state="visible" r:id="rId3"/>
    <sheet name="CoG technique" sheetId="4" state="visible" r:id="rId4"/>
    <sheet name="Load-distance technique" sheetId="5" state="visible" r:id="rId5"/>
  </sheets>
  <definedNames>
    <definedName name="solver_adj" localSheetId="0">TM!$C$12:$F$16,TM!$G$23:$G$24</definedName>
    <definedName name="solver_cvg" localSheetId="0">0.0001</definedName>
    <definedName name="solver_drv" localSheetId="0">2</definedName>
    <definedName name="solver_eng" localSheetId="0">2</definedName>
    <definedName name="solver_est" localSheetId="0">1</definedName>
    <definedName name="solver_itr" localSheetId="0">2147483647</definedName>
    <definedName name="solver_mip" localSheetId="0">2147483647</definedName>
    <definedName name="solver_mni" localSheetId="0">30</definedName>
    <definedName name="solver_mrt" localSheetId="0">0.075</definedName>
    <definedName name="solver_msl" localSheetId="0">2</definedName>
    <definedName name="solver_neg" localSheetId="0">1</definedName>
    <definedName name="solver_nod" localSheetId="0">2147483647</definedName>
    <definedName name="solver_num" localSheetId="0">9</definedName>
    <definedName name="solver_nwt" localSheetId="0">1</definedName>
    <definedName name="solver_pre" localSheetId="0">0.000001</definedName>
    <definedName name="solver_rbv" localSheetId="0">2</definedName>
    <definedName name="solver_rel1" localSheetId="0">2</definedName>
    <definedName name="solver_rel2" localSheetId="0">1</definedName>
    <definedName name="solver_rel3" localSheetId="0">1</definedName>
    <definedName name="solver_rel4" localSheetId="0">1</definedName>
    <definedName name="solver_rel5" localSheetId="0">1</definedName>
    <definedName name="solver_rel6" localSheetId="0">1</definedName>
    <definedName name="solver_rel7" localSheetId="0">5</definedName>
    <definedName name="solver_rel8" localSheetId="0">5</definedName>
    <definedName name="solver_rel9" localSheetId="0">2</definedName>
    <definedName name="solver_rhs7" localSheetId="0">"binary"</definedName>
    <definedName name="solver_rhs8" localSheetId="0">"binary"</definedName>
    <definedName name="solver_rhs9" localSheetId="0">1</definedName>
    <definedName name="solver_rlx" localSheetId="0">2</definedName>
    <definedName name="solver_rsd" localSheetId="0">0</definedName>
    <definedName name="solver_scl" localSheetId="0">2</definedName>
    <definedName name="solver_sho" localSheetId="0">2</definedName>
    <definedName name="solver_ssz" localSheetId="0">100</definedName>
    <definedName name="solver_tim" localSheetId="0">2147483647</definedName>
    <definedName name="solver_tol" localSheetId="0">0.01</definedName>
    <definedName name="solver_typ" localSheetId="0">2</definedName>
    <definedName name="solver_val" localSheetId="0">0</definedName>
    <definedName name="solver_ver" localSheetId="0">3</definedName>
    <definedName name="solver_rhs6" localSheetId="0">TM!$F$6</definedName>
    <definedName name="solver_rhs5" localSheetId="0">TM!$F$5</definedName>
    <definedName name="solver_lhs9" localSheetId="0">TM!$G$25</definedName>
    <definedName name="solver_opt" localSheetId="0">TM!$B$21</definedName>
    <definedName name="solver_lhs5" localSheetId="0">TM!$G$15</definedName>
    <definedName name="solver_rhs4" localSheetId="0">TM!$F$4</definedName>
    <definedName name="solver_lhs7" localSheetId="0">TM!$G$23</definedName>
    <definedName name="solver_rhs3" localSheetId="0">TM!$F$3</definedName>
    <definedName name="solver_lhs8" localSheetId="0">TM!$G$24</definedName>
    <definedName name="solver_lhs1" localSheetId="0">TM!$C$17:$F$17</definedName>
    <definedName name="solver_rhs2" localSheetId="0">TM!$F$2</definedName>
    <definedName name="solver_lhs4" localSheetId="0">TM!$G$14</definedName>
    <definedName name="solver_lhs3" localSheetId="0">TM!$G$13</definedName>
    <definedName name="solver_lhs2" localSheetId="0">TM!$G$12</definedName>
    <definedName name="solver_lhs6" localSheetId="0">TM!$G$16</definedName>
    <definedName name="solver_rhs1" localSheetId="0">TM!$C$18:$F$18</definedName>
    <definedName name="solver_adj" localSheetId="1">SCND!$B$17:$B$19,SCND!$B$22:$B$26,SCND!$B$30:$D$32,SCND!$B$36:$F$38,SCND!$B$42:$G$46</definedName>
    <definedName name="solver_cvg" localSheetId="1">0.0001</definedName>
    <definedName name="solver_drv" localSheetId="1">2</definedName>
    <definedName name="solver_eng" localSheetId="1">2</definedName>
    <definedName name="solver_est" localSheetId="1">1</definedName>
    <definedName name="solver_itr" localSheetId="1">2147483647</definedName>
    <definedName name="solver_mip" localSheetId="1">2147483647</definedName>
    <definedName name="solver_mni" localSheetId="1">30</definedName>
    <definedName name="solver_mrt" localSheetId="1">0.075</definedName>
    <definedName name="solver_msl" localSheetId="1">2</definedName>
    <definedName name="solver_neg" localSheetId="1">1</definedName>
    <definedName name="solver_nod" localSheetId="1">2147483647</definedName>
    <definedName name="solver_num" localSheetId="1">20</definedName>
    <definedName name="solver_nwt" localSheetId="1">1</definedName>
    <definedName name="solver_pre" localSheetId="1">0.000001</definedName>
    <definedName name="solver_rbv" localSheetId="1">2</definedName>
    <definedName name="solver_rel1" localSheetId="1">5</definedName>
    <definedName name="solver_rel10" localSheetId="1">1</definedName>
    <definedName name="solver_rel11" localSheetId="1">2</definedName>
    <definedName name="solver_rel12" localSheetId="1">2</definedName>
    <definedName name="solver_rel13" localSheetId="1">2</definedName>
    <definedName name="solver_rel14" localSheetId="1">2</definedName>
    <definedName name="solver_rel15" localSheetId="1">2</definedName>
    <definedName name="solver_rel16" localSheetId="1">2</definedName>
    <definedName name="solver_rel17" localSheetId="1">2</definedName>
    <definedName name="solver_rel18" localSheetId="1">1</definedName>
    <definedName name="solver_rel19" localSheetId="1">2</definedName>
    <definedName name="solver_rel2" localSheetId="1">5</definedName>
    <definedName name="solver_rel20" localSheetId="1">1</definedName>
    <definedName name="solver_rel21" localSheetId="1">1</definedName>
    <definedName name="solver_rel3" localSheetId="1">2</definedName>
    <definedName name="solver_rel4" localSheetId="1">2</definedName>
    <definedName name="solver_rel5" localSheetId="1">2</definedName>
    <definedName name="solver_rel6" localSheetId="1">2</definedName>
    <definedName name="solver_rel7" localSheetId="1">2</definedName>
    <definedName name="solver_rel8" localSheetId="1">2</definedName>
    <definedName name="solver_rel9" localSheetId="1">2</definedName>
    <definedName name="solver_rhs1" localSheetId="1">"binary"</definedName>
    <definedName name="solver_rhs2" localSheetId="1">"binary"</definedName>
    <definedName name="solver_rlx" localSheetId="1">2</definedName>
    <definedName name="solver_rsd" localSheetId="1">0</definedName>
    <definedName name="solver_scl" localSheetId="1">2</definedName>
    <definedName name="solver_sho" localSheetId="1">2</definedName>
    <definedName name="solver_ssz" localSheetId="1">100</definedName>
    <definedName name="solver_tim" localSheetId="1">2147483647</definedName>
    <definedName name="solver_tol" localSheetId="1">0.01</definedName>
    <definedName name="solver_typ" localSheetId="1">2</definedName>
    <definedName name="solver_val" localSheetId="1">0</definedName>
    <definedName name="solver_ver" localSheetId="1">3</definedName>
    <definedName name="solver_lhs11" localSheetId="1">SCND!$C$33</definedName>
    <definedName name="solver_lhs20" localSheetId="1">SCND!$H$42:$H$46</definedName>
    <definedName name="solver_rhs9" localSheetId="1">SCND!$H$44</definedName>
    <definedName name="solver_opt" localSheetId="1">SCND!$J$35</definedName>
    <definedName name="solver_lhs18" localSheetId="1">SCND!$G$36:$G$38</definedName>
    <definedName name="solver_lhs10" localSheetId="1">SCND!$E$30:$E$32</definedName>
    <definedName name="solver_lhs4" localSheetId="1">SCND!$B$39</definedName>
    <definedName name="solver_lhs6" localSheetId="1">SCND!$C$39</definedName>
    <definedName name="solver_rhs3" localSheetId="1">SCND!$G$36</definedName>
    <definedName name="solver_lhs8" localSheetId="1">SCND!$C$47</definedName>
    <definedName name="solver_rhs8" localSheetId="1">SCND!$C$6</definedName>
    <definedName name="solver_lhs13" localSheetId="1">SCND!$G$47</definedName>
    <definedName name="solver_rhs14" localSheetId="1">SCND!$C$7</definedName>
    <definedName name="solver_lhs7" localSheetId="1">SCND!$D$33</definedName>
    <definedName name="solver_lhs21" localSheetId="1">SCND!$E$30:$E$32</definedName>
    <definedName name="solver_lhs3" localSheetId="1">SCND!$B$33</definedName>
    <definedName name="solver_rhs21" localSheetId="1">SCND!$G$5:$G$7</definedName>
    <definedName name="solver_rhs20" localSheetId="1">SCND!$C$22:$C$26</definedName>
    <definedName name="solver_rhs17" localSheetId="1">SCND!$C$9</definedName>
    <definedName name="solver_rhs16" localSheetId="1">SCND!$H$46</definedName>
    <definedName name="solver_rhs7" localSheetId="1">SCND!$G$38</definedName>
    <definedName name="solver_lhs15" localSheetId="1">SCND!$E$47</definedName>
    <definedName name="solver_rhs10" localSheetId="1">SCND!$G$5:$G$7</definedName>
    <definedName name="solver_rhs5" localSheetId="1">SCND!$C$5</definedName>
    <definedName name="solver_lhs17" localSheetId="1">SCND!$F$47</definedName>
    <definedName name="solver_lhs2" localSheetId="1">SCND!$B$22:$B$26</definedName>
    <definedName name="solver_rhs4" localSheetId="1">SCND!$H$42</definedName>
    <definedName name="solver_lhs16" localSheetId="1">SCND!$F$39</definedName>
    <definedName name="solver_rhs11" localSheetId="1">SCND!$G$37</definedName>
    <definedName name="solver_rhs6" localSheetId="1">SCND!$H$43</definedName>
    <definedName name="solver_lhs12" localSheetId="1">SCND!$E$39</definedName>
    <definedName name="solver_lhs5" localSheetId="1">SCND!$B$47</definedName>
    <definedName name="solver_lhs1" localSheetId="1">SCND!$B$17:$B$19</definedName>
    <definedName name="solver_rhs19" localSheetId="1">SCND!$H$44</definedName>
    <definedName name="solver_rhs15" localSheetId="1">SCND!$C$8</definedName>
    <definedName name="solver_lhs19" localSheetId="1">SCND!$D$39</definedName>
    <definedName name="solver_lhs14" localSheetId="1">SCND!$D$47</definedName>
    <definedName name="solver_rhs13" localSheetId="1">SCND!$C$10</definedName>
    <definedName name="solver_rhs18" localSheetId="1">SCND!$C$17:$C$19</definedName>
    <definedName name="solver_rhs12" localSheetId="1">SCND!$H$45</definedName>
    <definedName name="solver_lhs9" localSheetId="1">SCND!$D$39</definedName>
  </definedNames>
  <calcPr calcId="12451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Aptos Narrow"/>
      <b val="1"/>
      <color theme="1"/>
      <sz val="11"/>
    </font>
    <font>
      <name val="Aptos Narrow"/>
      <i val="1"/>
      <color theme="1"/>
      <sz val="11"/>
    </font>
    <font/>
    <font>
      <name val="Aptos Narrow"/>
      <color theme="1"/>
      <scheme val="minor"/>
    </font>
    <font>
      <name val="Arial"/>
      <color theme="1"/>
      <sz val="11"/>
    </font>
    <font>
      <name val="Aptos Narrow"/>
      <b val="1"/>
      <i val="1"/>
      <color theme="1"/>
      <sz val="11"/>
    </font>
  </fonts>
  <fills count="6">
    <fill>
      <patternFill/>
    </fill>
    <fill>
      <patternFill patternType="lightGray"/>
    </fill>
    <fill>
      <patternFill patternType="solid">
        <fgColor rgb="FFFAE2D5"/>
        <bgColor rgb="FFFAE2D5"/>
      </patternFill>
    </fill>
    <fill>
      <patternFill patternType="solid">
        <fgColor rgb="FFD9F2D0"/>
        <bgColor rgb="FFD9F2D0"/>
      </patternFill>
    </fill>
    <fill>
      <patternFill patternType="solid">
        <fgColor rgb="FFC1F0C8"/>
        <bgColor rgb="FFC1F0C8"/>
      </patternFill>
    </fill>
    <fill>
      <patternFill patternType="solid">
        <fgColor rgb="FFDBE9F7"/>
        <bgColor rgb="FFDBE9F7"/>
      </patternFill>
    </fill>
  </fills>
  <borders count="5">
    <border/>
    <border>
      <left/>
      <top/>
      <bottom/>
    </border>
    <border>
      <top/>
      <bottom/>
    </border>
    <border>
      <right/>
      <top/>
      <bottom/>
    </border>
    <border>
      <left/>
      <right/>
      <top/>
      <bottom/>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xf>
    <xf numFmtId="0" fontId="2" fillId="2" borderId="1" applyAlignment="1" pivotButton="0" quotePrefix="0" xfId="0">
      <alignment horizontal="center"/>
    </xf>
    <xf numFmtId="0" fontId="4" fillId="0" borderId="2" pivotButton="0" quotePrefix="0" xfId="0"/>
    <xf numFmtId="0" fontId="4" fillId="0" borderId="3" pivotButton="0" quotePrefix="0" xfId="0"/>
    <xf numFmtId="0" fontId="2" fillId="0" borderId="0" applyAlignment="1" pivotButton="0" quotePrefix="0" xfId="0">
      <alignment horizontal="left"/>
    </xf>
    <xf numFmtId="0" fontId="5" fillId="0" borderId="0" pivotButton="0" quotePrefix="0" xfId="0"/>
    <xf numFmtId="0" fontId="2" fillId="0" borderId="0" pivotButton="0" quotePrefix="0" xfId="0"/>
    <xf numFmtId="0" fontId="1" fillId="0" borderId="0" applyAlignment="1" pivotButton="0" quotePrefix="0" xfId="0">
      <alignment horizontal="left"/>
    </xf>
    <xf numFmtId="0" fontId="6" fillId="0" borderId="0" applyAlignment="1" pivotButton="0" quotePrefix="0" xfId="0">
      <alignment horizontal="left"/>
    </xf>
    <xf numFmtId="0" fontId="3" fillId="3" borderId="1" applyAlignment="1" pivotButton="0" quotePrefix="0" xfId="0">
      <alignment horizontal="center"/>
    </xf>
    <xf numFmtId="0" fontId="1" fillId="4" borderId="1" applyAlignment="1" pivotButton="0" quotePrefix="0" xfId="0">
      <alignment horizontal="center"/>
    </xf>
    <xf numFmtId="0" fontId="7" fillId="0" borderId="0" applyAlignment="1" pivotButton="0" quotePrefix="0" xfId="0">
      <alignment horizontal="center"/>
    </xf>
    <xf numFmtId="0" fontId="1" fillId="3" borderId="4" applyAlignment="1" pivotButton="0" quotePrefix="0" xfId="0">
      <alignment horizontal="center"/>
    </xf>
    <xf numFmtId="0" fontId="2" fillId="0" borderId="0" applyAlignment="1" pivotButton="0" quotePrefix="0" xfId="0">
      <alignment horizontal="center" wrapText="1"/>
    </xf>
    <xf numFmtId="0" fontId="3" fillId="2" borderId="1" applyAlignment="1" pivotButton="0" quotePrefix="0" xfId="0">
      <alignment horizontal="center" vertical="center"/>
    </xf>
    <xf numFmtId="0" fontId="3" fillId="0" borderId="0" pivotButton="0" quotePrefix="0" xfId="0"/>
    <xf numFmtId="0" fontId="3" fillId="5" borderId="1" applyAlignment="1" pivotButton="0" quotePrefix="0" xfId="0">
      <alignment horizontal="center"/>
    </xf>
    <xf numFmtId="0" fontId="1" fillId="0" borderId="0" applyAlignment="1" pivotButton="0" quotePrefix="0" xfId="0">
      <alignment horizontal="left" vertical="top"/>
    </xf>
    <xf numFmtId="0" fontId="7" fillId="5" borderId="1" applyAlignment="1" pivotButton="0" quotePrefix="0" xfId="0">
      <alignment horizontal="center"/>
    </xf>
    <xf numFmtId="0" fontId="7" fillId="0" borderId="0" pivotButton="0" quotePrefix="0" xfId="0"/>
    <xf numFmtId="0" fontId="1" fillId="0" borderId="0" pivotButton="0" quotePrefix="0" xfId="0"/>
    <xf numFmtId="0" fontId="3" fillId="3" borderId="4" applyAlignment="1" pivotButton="0" quotePrefix="0" xfId="0">
      <alignment horizontal="center"/>
    </xf>
    <xf numFmtId="0" fontId="2" fillId="0" borderId="0" applyAlignment="1" pivotButton="0" quotePrefix="0" xfId="0">
      <alignment horizontal="left" wrapText="1"/>
    </xf>
    <xf numFmtId="0" fontId="0" fillId="0" borderId="0" pivotButton="0" quotePrefix="0" xfId="0"/>
    <xf numFmtId="0" fontId="2" fillId="2" borderId="4" applyAlignment="1" pivotButton="0" quotePrefix="0" xfId="0">
      <alignment horizontal="center"/>
    </xf>
    <xf numFmtId="0" fontId="1" fillId="4" borderId="4" applyAlignment="1" pivotButton="0" quotePrefix="0" xfId="0">
      <alignment horizontal="center"/>
    </xf>
    <xf numFmtId="0" fontId="3" fillId="2" borderId="4" applyAlignment="1" pivotButton="0" quotePrefix="0" xfId="0">
      <alignment horizontal="center"/>
    </xf>
    <xf numFmtId="0" fontId="3" fillId="2" borderId="4" applyAlignment="1" pivotButton="0" quotePrefix="0" xfId="0">
      <alignment horizontal="center" vertical="center"/>
    </xf>
    <xf numFmtId="0" fontId="3" fillId="5" borderId="4" applyAlignment="1" pivotButton="0" quotePrefix="0" xfId="0">
      <alignment horizontal="center"/>
    </xf>
    <xf numFmtId="0" fontId="7" fillId="5" borderId="4"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ColWidth="12.63" defaultRowHeight="15" customHeight="1"/>
  <cols>
    <col width="25.75" customWidth="1" style="26" min="1" max="1"/>
    <col width="32.5" customWidth="1" style="26" min="2" max="2"/>
    <col width="14" customWidth="1" style="26" min="3" max="3"/>
    <col width="11.5" customWidth="1" style="26" min="4" max="4"/>
    <col width="24.88" customWidth="1" style="26" min="5" max="5"/>
    <col width="12.88" customWidth="1" style="26" min="6" max="6"/>
    <col width="21.13" customWidth="1" style="26" min="7" max="7"/>
    <col width="13.13" customWidth="1" style="26" min="8" max="8"/>
    <col width="8.630000000000001" customWidth="1" style="26" min="9" max="26"/>
  </cols>
  <sheetData>
    <row r="1" ht="14.25" customHeight="1" s="26">
      <c r="A1" s="1" t="n"/>
      <c r="B1" s="2" t="inlineStr">
        <is>
          <t>MKG Inc</t>
        </is>
      </c>
      <c r="C1" s="2" t="inlineStr">
        <is>
          <t>ASN Inc</t>
        </is>
      </c>
      <c r="D1" s="2" t="inlineStr">
        <is>
          <t>GMZ Inc</t>
        </is>
      </c>
      <c r="E1" s="2" t="inlineStr">
        <is>
          <t>Akla Inc</t>
        </is>
      </c>
      <c r="F1" s="2" t="inlineStr">
        <is>
          <t>Capacity</t>
        </is>
      </c>
      <c r="G1" s="1" t="n"/>
      <c r="H1" s="1" t="n"/>
      <c r="I1" s="1" t="n"/>
      <c r="J1" s="1" t="n"/>
    </row>
    <row r="2" ht="14.25" customHeight="1" s="26">
      <c r="A2" s="2" t="inlineStr">
        <is>
          <t>Miami</t>
        </is>
      </c>
      <c r="B2" s="1" t="n">
        <v>1</v>
      </c>
      <c r="C2" s="1" t="n">
        <v>3</v>
      </c>
      <c r="D2" s="1" t="n">
        <v>3.5</v>
      </c>
      <c r="E2" s="1" t="n">
        <v>1.5</v>
      </c>
      <c r="F2" s="1" t="n">
        <v>20000</v>
      </c>
      <c r="G2" s="27" t="inlineStr">
        <is>
          <t>Parameters (input data)</t>
        </is>
      </c>
    </row>
    <row r="3" ht="14.25" customHeight="1" s="26">
      <c r="A3" s="2" t="inlineStr">
        <is>
          <t>Tempe</t>
        </is>
      </c>
      <c r="B3" s="1" t="n">
        <v>5</v>
      </c>
      <c r="C3" s="1" t="n">
        <v>1.75</v>
      </c>
      <c r="D3" s="1" t="n">
        <v>2.25</v>
      </c>
      <c r="E3" s="1" t="n">
        <v>4</v>
      </c>
      <c r="F3" s="1" t="n">
        <v>40000</v>
      </c>
      <c r="G3" s="1" t="n"/>
      <c r="H3" s="1" t="n"/>
      <c r="I3" s="1" t="n"/>
      <c r="J3" s="1" t="n"/>
    </row>
    <row r="4" ht="14.25" customHeight="1" s="26">
      <c r="A4" s="2" t="inlineStr">
        <is>
          <t>Columbus</t>
        </is>
      </c>
      <c r="B4" s="1" t="n">
        <v>2.5</v>
      </c>
      <c r="C4" s="1" t="n">
        <v>2.5</v>
      </c>
      <c r="D4" s="1" t="n">
        <v>1</v>
      </c>
      <c r="E4" s="1" t="n">
        <v>3</v>
      </c>
      <c r="F4" s="1" t="n">
        <v>30000</v>
      </c>
      <c r="G4" s="1" t="n"/>
      <c r="H4" s="1" t="n"/>
      <c r="I4" s="1" t="n"/>
      <c r="J4" s="1" t="n"/>
    </row>
    <row r="5" ht="14.25" customHeight="1" s="26">
      <c r="A5" s="2" t="inlineStr">
        <is>
          <t>Dallas</t>
        </is>
      </c>
      <c r="B5" s="1" t="n">
        <v>1.5</v>
      </c>
      <c r="C5" s="1" t="n">
        <v>2.5</v>
      </c>
      <c r="D5" s="1" t="n">
        <v>3.75</v>
      </c>
      <c r="E5" s="1" t="n">
        <v>1.75</v>
      </c>
      <c r="F5" s="1" t="n">
        <v>18000</v>
      </c>
      <c r="G5" s="1" t="n"/>
      <c r="H5" s="1" t="n"/>
      <c r="I5" s="1" t="n"/>
      <c r="J5" s="1" t="n"/>
    </row>
    <row r="6" ht="14.25" customHeight="1" s="26">
      <c r="A6" s="2" t="inlineStr">
        <is>
          <t>Chicago</t>
        </is>
      </c>
      <c r="B6" s="1" t="n">
        <v>3.2</v>
      </c>
      <c r="C6" s="1" t="n">
        <v>1.75</v>
      </c>
      <c r="D6" s="1" t="n">
        <v>2</v>
      </c>
      <c r="E6" s="1" t="n">
        <v>4.35</v>
      </c>
      <c r="F6" s="1" t="n">
        <v>18000</v>
      </c>
      <c r="G6" s="1" t="n"/>
      <c r="H6" s="1" t="n"/>
      <c r="I6" s="1" t="n"/>
      <c r="J6" s="1" t="n"/>
    </row>
    <row r="7" ht="14.25" customHeight="1" s="26">
      <c r="A7" s="1" t="n"/>
      <c r="B7" s="1" t="n"/>
      <c r="C7" s="1" t="n"/>
      <c r="D7" s="1" t="n"/>
      <c r="E7" s="1" t="n"/>
      <c r="F7" s="1" t="n"/>
      <c r="G7" s="1" t="n"/>
      <c r="H7" s="1" t="n"/>
      <c r="I7" s="1" t="n"/>
      <c r="J7" s="1" t="n"/>
    </row>
    <row r="8" ht="14.25" customHeight="1" s="26">
      <c r="A8" s="1" t="n"/>
      <c r="B8" s="27" t="inlineStr">
        <is>
          <t>Continuous Decision Variables</t>
        </is>
      </c>
      <c r="D8" s="1" t="n"/>
      <c r="E8" s="1" t="n"/>
      <c r="F8" s="1" t="n"/>
      <c r="G8" s="1" t="n"/>
      <c r="H8" s="1" t="n"/>
      <c r="I8" s="1" t="n"/>
      <c r="J8" s="1" t="n"/>
    </row>
    <row r="9" ht="14.25" customHeight="1" s="26">
      <c r="H9" s="1" t="n"/>
      <c r="I9" s="1" t="n"/>
      <c r="J9" s="1" t="n"/>
    </row>
    <row r="10" ht="14.25" customHeight="1" s="26">
      <c r="A10" s="1" t="n"/>
      <c r="B10" s="1" t="n"/>
      <c r="C10" s="2" t="inlineStr">
        <is>
          <t>Destination</t>
        </is>
      </c>
      <c r="G10" s="1" t="n"/>
      <c r="H10" s="1" t="n"/>
      <c r="I10" s="1" t="n"/>
      <c r="J10" s="1" t="n"/>
    </row>
    <row r="11" ht="14.25" customHeight="1" s="26">
      <c r="A11" s="1" t="n"/>
      <c r="B11" s="1" t="n"/>
      <c r="C11" s="1" t="inlineStr">
        <is>
          <t>MKG Inc</t>
        </is>
      </c>
      <c r="D11" s="1" t="inlineStr">
        <is>
          <t>ASN Inc</t>
        </is>
      </c>
      <c r="E11" s="1" t="inlineStr">
        <is>
          <t>GMZ Inc</t>
        </is>
      </c>
      <c r="F11" s="1" t="inlineStr">
        <is>
          <t>Akla Inc</t>
        </is>
      </c>
      <c r="G11" s="28" t="inlineStr">
        <is>
          <t>Total Shipped from a plant</t>
        </is>
      </c>
      <c r="I11" s="1" t="n"/>
      <c r="J11" s="1" t="n"/>
    </row>
    <row r="12" ht="14.25" customHeight="1" s="26">
      <c r="A12" s="2" t="inlineStr">
        <is>
          <t>Source</t>
        </is>
      </c>
      <c r="B12" s="1" t="inlineStr">
        <is>
          <t>Miami</t>
        </is>
      </c>
      <c r="C12" s="1" t="n">
        <v>20000</v>
      </c>
      <c r="D12" s="1" t="n">
        <v>0</v>
      </c>
      <c r="E12" s="1" t="n">
        <v>0</v>
      </c>
      <c r="F12" s="1" t="n">
        <v>0</v>
      </c>
      <c r="G12" s="1">
        <f>SUM(C12:F12)</f>
        <v/>
      </c>
      <c r="I12" s="1" t="n"/>
      <c r="J12" s="1" t="n"/>
    </row>
    <row r="13" ht="14.25" customHeight="1" s="26">
      <c r="B13" s="1" t="inlineStr">
        <is>
          <t>Tempe</t>
        </is>
      </c>
      <c r="C13" s="1" t="n">
        <v>0</v>
      </c>
      <c r="D13" s="1" t="n">
        <v>16200</v>
      </c>
      <c r="E13" s="1" t="n">
        <v>0</v>
      </c>
      <c r="F13" s="1" t="n">
        <v>23800</v>
      </c>
      <c r="G13" s="1">
        <f>SUM(C13:F13)</f>
        <v/>
      </c>
      <c r="I13" s="1" t="n"/>
      <c r="J13" s="1" t="n"/>
    </row>
    <row r="14" ht="14.25" customHeight="1" s="26">
      <c r="B14" s="1" t="inlineStr">
        <is>
          <t>Columbus</t>
        </is>
      </c>
      <c r="C14" s="1" t="n">
        <v>9840</v>
      </c>
      <c r="D14" s="1" t="n">
        <v>0</v>
      </c>
      <c r="E14" s="1" t="n">
        <v>20160</v>
      </c>
      <c r="F14" s="1" t="n">
        <v>0</v>
      </c>
      <c r="G14" s="1">
        <f>SUM(C14:F14)</f>
        <v/>
      </c>
      <c r="I14" s="1" t="n"/>
      <c r="J14" s="1" t="n"/>
    </row>
    <row r="15" ht="14.25" customHeight="1" s="26">
      <c r="B15" s="1" t="inlineStr">
        <is>
          <t>Dallas</t>
        </is>
      </c>
      <c r="C15" s="1" t="n">
        <v>160</v>
      </c>
      <c r="D15" s="1" t="n">
        <v>0</v>
      </c>
      <c r="E15" s="1" t="n">
        <v>0</v>
      </c>
      <c r="F15" s="1" t="n">
        <v>17840</v>
      </c>
      <c r="G15" s="1">
        <f>SUM(C15:F15)</f>
        <v/>
      </c>
      <c r="I15" s="1" t="n"/>
      <c r="J15" s="1" t="n"/>
    </row>
    <row r="16" ht="14.25" customHeight="1" s="26">
      <c r="B16" s="1" t="inlineStr">
        <is>
          <t>Chicago</t>
        </is>
      </c>
      <c r="C16" s="1" t="n">
        <v>0</v>
      </c>
      <c r="D16" s="1" t="n">
        <v>0</v>
      </c>
      <c r="E16" s="1" t="n">
        <v>0</v>
      </c>
      <c r="F16" s="1" t="n">
        <v>0</v>
      </c>
      <c r="G16" s="1">
        <f>SUM(C16:F16)</f>
        <v/>
      </c>
      <c r="I16" s="1" t="n"/>
      <c r="J16" s="1" t="n"/>
    </row>
    <row r="17" ht="14.25" customHeight="1" s="26">
      <c r="A17" s="1" t="n"/>
      <c r="B17" s="15" t="inlineStr">
        <is>
          <t>Total Shipped from all plants to DC</t>
        </is>
      </c>
      <c r="C17" s="1">
        <f>SUM(C12:C16)</f>
        <v/>
      </c>
      <c r="D17" s="1">
        <f>SUM(D12:D16)</f>
        <v/>
      </c>
      <c r="E17" s="1">
        <f>SUM(E12:E16)</f>
        <v/>
      </c>
      <c r="F17" s="1">
        <f>SUM(F12:F16)</f>
        <v/>
      </c>
      <c r="G17" s="1" t="n"/>
      <c r="H17" s="1" t="n"/>
      <c r="I17" s="1" t="n"/>
      <c r="J17" s="1" t="n"/>
    </row>
    <row r="18" ht="14.25" customHeight="1" s="26">
      <c r="A18" s="1" t="n"/>
      <c r="B18" s="2" t="inlineStr">
        <is>
          <t>Required Demand</t>
        </is>
      </c>
      <c r="C18" s="1" t="n">
        <v>30000</v>
      </c>
      <c r="D18" s="1" t="n">
        <v>16200</v>
      </c>
      <c r="E18" s="1" t="n">
        <v>20160</v>
      </c>
      <c r="F18" s="1" t="n">
        <v>41640</v>
      </c>
      <c r="G18" s="1" t="n"/>
      <c r="H18" s="9" t="n"/>
    </row>
    <row r="19" ht="14.25" customHeight="1" s="26"/>
    <row r="20" ht="14.25" customHeight="1" s="26">
      <c r="A20" s="2" t="inlineStr">
        <is>
          <t>Objective Function</t>
        </is>
      </c>
      <c r="B20" s="1" t="inlineStr">
        <is>
          <t>Minimise total transportation cost</t>
        </is>
      </c>
    </row>
    <row r="21" ht="14.25" customHeight="1" s="26">
      <c r="A21" s="2" t="inlineStr">
        <is>
          <t>Total Transportation Cost</t>
        </is>
      </c>
      <c r="B21" s="1">
        <f>SUMPRODUCT(B2:E6, C12:F16)</f>
        <v/>
      </c>
      <c r="E21" s="27" t="inlineStr">
        <is>
          <t>Binary Decision Variables</t>
        </is>
      </c>
    </row>
    <row r="22" ht="14.25" customHeight="1" s="26"/>
    <row r="23" ht="14.25" customHeight="1" s="26">
      <c r="C23" s="9" t="n"/>
      <c r="E23" s="2" t="inlineStr">
        <is>
          <t>Manufacturing Plant</t>
        </is>
      </c>
      <c r="F23" s="8" t="inlineStr">
        <is>
          <t>Dallas</t>
        </is>
      </c>
      <c r="G23" t="n">
        <v>1</v>
      </c>
    </row>
    <row r="24" ht="14.25" customHeight="1" s="26">
      <c r="A24" s="9" t="n"/>
      <c r="F24" s="8" t="inlineStr">
        <is>
          <t>Chicago</t>
        </is>
      </c>
      <c r="G24" t="n">
        <v>0</v>
      </c>
    </row>
    <row r="25" ht="14.25" customHeight="1" s="26">
      <c r="E25" s="1" t="inlineStr">
        <is>
          <t>Facility Opening constraint</t>
        </is>
      </c>
      <c r="G25">
        <f>SUM(G23:G24)</f>
        <v/>
      </c>
    </row>
    <row r="26" ht="14.25" customHeight="1" s="26"/>
    <row r="27" ht="14.25" customHeight="1" s="26">
      <c r="E27" s="16" t="n"/>
    </row>
    <row r="28" ht="14.25" customHeight="1" s="26"/>
    <row r="29" ht="14.25" customHeight="1" s="26"/>
    <row r="30" ht="14.25" customHeight="1" s="26"/>
    <row r="31" ht="14.25" customHeight="1" s="26"/>
    <row r="32" ht="14.25" customHeight="1" s="26"/>
    <row r="33" ht="14.25" customHeight="1" s="26"/>
    <row r="34" ht="14.25" customHeight="1" s="26"/>
    <row r="35" ht="14.25" customHeight="1" s="26"/>
    <row r="36" ht="14.25" customHeight="1" s="26"/>
    <row r="37" ht="14.25" customHeight="1" s="26"/>
    <row r="38" ht="14.25" customHeight="1" s="26"/>
    <row r="39" ht="14.25" customHeight="1" s="26"/>
    <row r="40" ht="14.25" customHeight="1" s="26"/>
    <row r="41" ht="14.25" customHeight="1" s="26"/>
    <row r="42" ht="14.25" customHeight="1" s="26"/>
    <row r="43" ht="14.25" customHeight="1" s="26"/>
    <row r="44" ht="14.25" customHeight="1" s="26"/>
    <row r="45" ht="14.25" customHeight="1" s="26"/>
    <row r="46" ht="14.25" customHeight="1" s="26"/>
    <row r="47" ht="14.25" customHeight="1" s="26"/>
    <row r="48" ht="14.25" customHeight="1" s="26"/>
    <row r="49" ht="14.25" customHeight="1" s="26"/>
    <row r="50" ht="14.25" customHeight="1" s="26"/>
    <row r="51" ht="14.25" customHeight="1" s="26"/>
    <row r="52" ht="14.25" customHeight="1" s="26"/>
    <row r="53" ht="14.25" customHeight="1" s="26"/>
    <row r="54" ht="14.25" customHeight="1" s="26"/>
    <row r="55" ht="14.25" customHeight="1" s="26"/>
    <row r="56" ht="14.25" customHeight="1" s="26"/>
    <row r="57" ht="14.25" customHeight="1" s="26"/>
    <row r="58" ht="14.25" customHeight="1" s="26"/>
    <row r="59" ht="14.25" customHeight="1" s="26"/>
    <row r="60" ht="14.25" customHeight="1" s="26"/>
    <row r="61" ht="14.25" customHeight="1" s="26"/>
    <row r="62" ht="14.25" customHeight="1" s="26"/>
    <row r="63" ht="14.25" customHeight="1" s="26"/>
    <row r="64" ht="14.25" customHeight="1" s="26"/>
    <row r="65" ht="14.25" customHeight="1" s="26"/>
    <row r="66" ht="14.25" customHeight="1" s="26"/>
    <row r="67" ht="14.25" customHeight="1" s="26"/>
    <row r="68" ht="14.25" customHeight="1" s="26"/>
    <row r="69" ht="14.25" customHeight="1" s="26"/>
    <row r="70" ht="14.25" customHeight="1" s="26"/>
    <row r="71" ht="14.25" customHeight="1" s="26"/>
    <row r="72" ht="14.25" customHeight="1" s="26"/>
    <row r="73" ht="14.25" customHeight="1" s="26"/>
    <row r="74" ht="14.25" customHeight="1" s="26"/>
    <row r="75" ht="14.25" customHeight="1" s="26"/>
    <row r="76" ht="14.25" customHeight="1" s="26"/>
    <row r="77" ht="14.25" customHeight="1" s="26"/>
    <row r="78" ht="14.25" customHeight="1" s="26"/>
    <row r="79" ht="14.25" customHeight="1" s="26"/>
    <row r="80" ht="14.25" customHeight="1" s="26"/>
    <row r="81" ht="14.25" customHeight="1" s="26"/>
    <row r="82" ht="14.25" customHeight="1" s="26"/>
    <row r="83" ht="14.25" customHeight="1" s="26"/>
    <row r="84" ht="14.25" customHeight="1" s="26"/>
    <row r="85" ht="14.25" customHeight="1" s="26"/>
    <row r="86" ht="14.25" customHeight="1" s="26"/>
    <row r="87" ht="14.25" customHeight="1" s="26"/>
    <row r="88" ht="14.25" customHeight="1" s="26"/>
    <row r="89" ht="14.25" customHeight="1" s="26"/>
    <row r="90" ht="14.25" customHeight="1" s="26"/>
    <row r="91" ht="14.25" customHeight="1" s="26"/>
    <row r="92" ht="14.25" customHeight="1" s="26"/>
    <row r="93" ht="14.25" customHeight="1" s="26"/>
    <row r="94" ht="14.25" customHeight="1" s="26"/>
    <row r="95" ht="14.25" customHeight="1" s="26"/>
    <row r="96" ht="14.25" customHeight="1" s="26"/>
    <row r="97" ht="14.25" customHeight="1" s="26"/>
    <row r="98" ht="14.25" customHeight="1" s="26"/>
    <row r="99" ht="14.25" customHeight="1" s="26"/>
    <row r="100" ht="14.25" customHeight="1" s="26"/>
    <row r="101" ht="14.25" customHeight="1" s="26"/>
    <row r="102" ht="14.25" customHeight="1" s="26"/>
    <row r="103" ht="14.25" customHeight="1" s="26"/>
    <row r="104" ht="14.25" customHeight="1" s="26"/>
    <row r="105" ht="14.25" customHeight="1" s="26"/>
    <row r="106" ht="14.25" customHeight="1" s="26"/>
    <row r="107" ht="14.25" customHeight="1" s="26"/>
    <row r="108" ht="14.25" customHeight="1" s="26"/>
    <row r="109" ht="14.25" customHeight="1" s="26"/>
    <row r="110" ht="14.25" customHeight="1" s="26"/>
    <row r="111" ht="14.25" customHeight="1" s="26"/>
    <row r="112" ht="14.25" customHeight="1" s="26"/>
    <row r="113" ht="14.25" customHeight="1" s="26"/>
    <row r="114" ht="14.25" customHeight="1" s="26"/>
    <row r="115" ht="14.25" customHeight="1" s="26"/>
    <row r="116" ht="14.25" customHeight="1" s="26"/>
    <row r="117" ht="14.25" customHeight="1" s="26"/>
    <row r="118" ht="14.25" customHeight="1" s="26"/>
    <row r="119" ht="14.25" customHeight="1" s="26"/>
    <row r="120" ht="14.25" customHeight="1" s="26"/>
    <row r="121" ht="14.25" customHeight="1" s="26"/>
    <row r="122" ht="14.25" customHeight="1" s="26"/>
    <row r="123" ht="14.25" customHeight="1" s="26"/>
    <row r="124" ht="14.25" customHeight="1" s="26"/>
    <row r="125" ht="14.25" customHeight="1" s="26"/>
    <row r="126" ht="14.25" customHeight="1" s="26"/>
    <row r="127" ht="14.25" customHeight="1" s="26"/>
    <row r="128" ht="14.25" customHeight="1" s="26"/>
    <row r="129" ht="14.25" customHeight="1" s="26"/>
    <row r="130" ht="14.25" customHeight="1" s="26"/>
    <row r="131" ht="14.25" customHeight="1" s="26"/>
    <row r="132" ht="14.25" customHeight="1" s="26"/>
    <row r="133" ht="14.25" customHeight="1" s="26"/>
    <row r="134" ht="14.25" customHeight="1" s="26"/>
    <row r="135" ht="14.25" customHeight="1" s="26"/>
    <row r="136" ht="14.25" customHeight="1" s="26"/>
    <row r="137" ht="14.25" customHeight="1" s="26"/>
    <row r="138" ht="14.25" customHeight="1" s="26"/>
    <row r="139" ht="14.25" customHeight="1" s="26"/>
    <row r="140" ht="14.25" customHeight="1" s="26"/>
    <row r="141" ht="14.25" customHeight="1" s="26"/>
    <row r="142" ht="14.25" customHeight="1" s="26"/>
    <row r="143" ht="14.25" customHeight="1" s="26"/>
    <row r="144" ht="14.25" customHeight="1" s="26"/>
    <row r="145" ht="14.25" customHeight="1" s="26"/>
    <row r="146" ht="14.25" customHeight="1" s="26"/>
    <row r="147" ht="14.25" customHeight="1" s="26"/>
    <row r="148" ht="14.25" customHeight="1" s="26"/>
    <row r="149" ht="14.25" customHeight="1" s="26"/>
    <row r="150" ht="14.25" customHeight="1" s="26"/>
    <row r="151" ht="14.25" customHeight="1" s="26"/>
    <row r="152" ht="14.25" customHeight="1" s="26"/>
    <row r="153" ht="14.25" customHeight="1" s="26"/>
    <row r="154" ht="14.25" customHeight="1" s="26"/>
    <row r="155" ht="14.25" customHeight="1" s="26"/>
    <row r="156" ht="14.25" customHeight="1" s="26"/>
    <row r="157" ht="14.25" customHeight="1" s="26"/>
    <row r="158" ht="14.25" customHeight="1" s="26"/>
    <row r="159" ht="14.25" customHeight="1" s="26"/>
    <row r="160" ht="14.25" customHeight="1" s="26"/>
    <row r="161" ht="14.25" customHeight="1" s="26"/>
    <row r="162" ht="14.25" customHeight="1" s="26"/>
    <row r="163" ht="14.25" customHeight="1" s="26"/>
    <row r="164" ht="14.25" customHeight="1" s="26"/>
    <row r="165" ht="14.25" customHeight="1" s="26"/>
    <row r="166" ht="14.25" customHeight="1" s="26"/>
    <row r="167" ht="14.25" customHeight="1" s="26"/>
    <row r="168" ht="14.25" customHeight="1" s="26"/>
    <row r="169" ht="14.25" customHeight="1" s="26"/>
    <row r="170" ht="14.25" customHeight="1" s="26"/>
    <row r="171" ht="14.25" customHeight="1" s="26"/>
    <row r="172" ht="14.25" customHeight="1" s="26"/>
    <row r="173" ht="14.25" customHeight="1" s="26"/>
    <row r="174" ht="14.25" customHeight="1" s="26"/>
    <row r="175" ht="14.25" customHeight="1" s="26"/>
    <row r="176" ht="14.25" customHeight="1" s="26"/>
    <row r="177" ht="14.25" customHeight="1" s="26"/>
    <row r="178" ht="14.25" customHeight="1" s="26"/>
    <row r="179" ht="14.25" customHeight="1" s="26"/>
    <row r="180" ht="14.25" customHeight="1" s="26"/>
    <row r="181" ht="14.25" customHeight="1" s="26"/>
    <row r="182" ht="14.25" customHeight="1" s="26"/>
    <row r="183" ht="14.25" customHeight="1" s="26"/>
    <row r="184" ht="14.25" customHeight="1" s="26"/>
    <row r="185" ht="14.25" customHeight="1" s="26"/>
    <row r="186" ht="14.25" customHeight="1" s="26"/>
    <row r="187" ht="14.25" customHeight="1" s="26"/>
    <row r="188" ht="14.25" customHeight="1" s="26"/>
    <row r="189" ht="14.25" customHeight="1" s="26"/>
    <row r="190" ht="14.25" customHeight="1" s="26"/>
    <row r="191" ht="14.25" customHeight="1" s="26"/>
    <row r="192" ht="14.25" customHeight="1" s="26"/>
    <row r="193" ht="14.25" customHeight="1" s="26"/>
    <row r="194" ht="14.25" customHeight="1" s="26"/>
    <row r="195" ht="14.25" customHeight="1" s="26"/>
    <row r="196" ht="14.25" customHeight="1" s="26"/>
    <row r="197" ht="14.25" customHeight="1" s="26"/>
    <row r="198" ht="14.25" customHeight="1" s="26"/>
    <row r="199" ht="14.25" customHeight="1" s="26"/>
    <row r="200" ht="14.25" customHeight="1" s="26"/>
    <row r="201" ht="14.25" customHeight="1" s="26"/>
    <row r="202" ht="14.25" customHeight="1" s="26"/>
    <row r="203" ht="14.25" customHeight="1" s="26"/>
    <row r="204" ht="14.25" customHeight="1" s="26"/>
    <row r="205" ht="14.25" customHeight="1" s="26"/>
    <row r="206" ht="14.25" customHeight="1" s="26"/>
    <row r="207" ht="14.25" customHeight="1" s="26"/>
    <row r="208" ht="14.25" customHeight="1" s="26"/>
    <row r="209" ht="14.25" customHeight="1" s="26"/>
    <row r="210" ht="14.25" customHeight="1" s="26"/>
    <row r="211" ht="14.25" customHeight="1" s="26"/>
    <row r="212" ht="14.25" customHeight="1" s="26"/>
    <row r="213" ht="14.25" customHeight="1" s="26"/>
    <row r="214" ht="14.25" customHeight="1" s="26"/>
    <row r="215" ht="14.25" customHeight="1" s="26"/>
    <row r="216" ht="14.25" customHeight="1" s="26"/>
    <row r="217" ht="14.25" customHeight="1" s="26"/>
    <row r="218" ht="14.25" customHeight="1" s="26"/>
    <row r="219" ht="14.25" customHeight="1" s="26"/>
    <row r="220" ht="14.25" customHeight="1" s="26"/>
    <row r="221" ht="14.25" customHeight="1" s="26"/>
    <row r="222" ht="14.25" customHeight="1" s="26"/>
    <row r="223" ht="14.25" customHeight="1" s="26"/>
    <row r="224" ht="14.25" customHeight="1" s="26"/>
    <row r="225" ht="14.25" customHeight="1" s="26"/>
    <row r="226" ht="14.25" customHeight="1" s="26"/>
    <row r="227" ht="14.25" customHeight="1" s="26"/>
    <row r="228" ht="14.25" customHeight="1" s="26"/>
    <row r="229" ht="14.25" customHeight="1" s="26"/>
    <row r="230" ht="14.25" customHeight="1" s="26"/>
    <row r="231" ht="14.25" customHeight="1" s="26"/>
    <row r="232" ht="14.25" customHeight="1" s="26"/>
    <row r="233" ht="14.25" customHeight="1" s="26"/>
    <row r="234" ht="14.25" customHeight="1" s="26"/>
    <row r="235" ht="14.25" customHeight="1" s="26"/>
    <row r="236" ht="14.25" customHeight="1" s="26"/>
    <row r="237" ht="14.25" customHeight="1" s="26"/>
    <row r="238" ht="14.25" customHeight="1" s="26"/>
    <row r="239" ht="14.25" customHeight="1" s="26"/>
    <row r="240" ht="14.25" customHeight="1" s="26"/>
    <row r="241" ht="14.25" customHeight="1" s="26"/>
    <row r="242" ht="14.25" customHeight="1" s="26"/>
    <row r="243" ht="14.25" customHeight="1" s="26"/>
    <row r="244" ht="14.25" customHeight="1" s="26"/>
    <row r="245" ht="14.25" customHeight="1" s="26"/>
    <row r="246" ht="14.25" customHeight="1" s="26"/>
    <row r="247" ht="14.25" customHeight="1" s="26"/>
    <row r="248" ht="14.25" customHeight="1" s="26"/>
    <row r="249" ht="14.25" customHeight="1" s="26"/>
    <row r="250" ht="14.25" customHeight="1" s="26"/>
    <row r="251" ht="14.25" customHeight="1" s="26"/>
    <row r="252" ht="14.25" customHeight="1" s="26"/>
    <row r="253" ht="14.25" customHeight="1" s="26"/>
    <row r="254" ht="14.25" customHeight="1" s="26"/>
    <row r="255" ht="14.25" customHeight="1" s="26"/>
    <row r="256" ht="14.25" customHeight="1" s="26"/>
    <row r="257" ht="14.25" customHeight="1" s="26"/>
    <row r="258" ht="14.25" customHeight="1" s="26"/>
    <row r="259" ht="14.25" customHeight="1" s="26"/>
    <row r="260" ht="14.25" customHeight="1" s="26"/>
    <row r="261" ht="14.25" customHeight="1" s="26"/>
    <row r="262" ht="14.25" customHeight="1" s="26"/>
    <row r="263" ht="14.25" customHeight="1" s="26"/>
    <row r="264" ht="14.25" customHeight="1" s="26"/>
    <row r="265" ht="14.25" customHeight="1" s="26"/>
    <row r="266" ht="14.25" customHeight="1" s="26"/>
    <row r="267" ht="14.25" customHeight="1" s="26"/>
    <row r="268" ht="14.25" customHeight="1" s="26"/>
    <row r="269" ht="14.25" customHeight="1" s="26"/>
    <row r="270" ht="14.25" customHeight="1" s="26"/>
    <row r="271" ht="14.25" customHeight="1" s="26"/>
    <row r="272" ht="14.25" customHeight="1" s="26"/>
    <row r="273" ht="14.25" customHeight="1" s="26"/>
    <row r="274" ht="14.25" customHeight="1" s="26"/>
    <row r="275" ht="14.25" customHeight="1" s="26"/>
    <row r="276" ht="14.25" customHeight="1" s="26"/>
    <row r="277" ht="14.25" customHeight="1" s="26"/>
    <row r="278" ht="14.25" customHeight="1" s="26"/>
    <row r="279" ht="14.25" customHeight="1" s="26"/>
    <row r="280" ht="14.25" customHeight="1" s="26"/>
    <row r="281" ht="14.25" customHeight="1" s="26"/>
    <row r="282" ht="14.25" customHeight="1" s="26"/>
    <row r="283" ht="14.25" customHeight="1" s="26"/>
    <row r="284" ht="14.25" customHeight="1" s="26"/>
    <row r="285" ht="14.25" customHeight="1" s="26"/>
    <row r="286" ht="14.25" customHeight="1" s="26"/>
    <row r="287" ht="14.25" customHeight="1" s="26"/>
    <row r="288" ht="14.25" customHeight="1" s="26"/>
    <row r="289" ht="14.25" customHeight="1" s="26"/>
    <row r="290" ht="14.25" customHeight="1" s="26"/>
    <row r="291" ht="14.25" customHeight="1" s="26"/>
    <row r="292" ht="14.25" customHeight="1" s="26"/>
    <row r="293" ht="14.25" customHeight="1" s="26"/>
    <row r="294" ht="14.25" customHeight="1" s="26"/>
    <row r="295" ht="14.25" customHeight="1" s="26"/>
    <row r="296" ht="14.25" customHeight="1" s="26"/>
    <row r="297" ht="14.25" customHeight="1" s="26"/>
    <row r="298" ht="14.25" customHeight="1" s="26"/>
    <row r="299" ht="14.25" customHeight="1" s="26"/>
    <row r="300" ht="14.25" customHeight="1" s="26"/>
    <row r="301" ht="14.25" customHeight="1" s="26"/>
    <row r="302" ht="14.25" customHeight="1" s="26"/>
    <row r="303" ht="14.25" customHeight="1" s="26"/>
    <row r="304" ht="14.25" customHeight="1" s="26"/>
    <row r="305" ht="14.25" customHeight="1" s="26"/>
    <row r="306" ht="14.25" customHeight="1" s="26"/>
    <row r="307" ht="14.25" customHeight="1" s="26"/>
    <row r="308" ht="14.25" customHeight="1" s="26"/>
    <row r="309" ht="14.25" customHeight="1" s="26"/>
    <row r="310" ht="14.25" customHeight="1" s="26"/>
    <row r="311" ht="14.25" customHeight="1" s="26"/>
    <row r="312" ht="14.25" customHeight="1" s="26"/>
    <row r="313" ht="14.25" customHeight="1" s="26"/>
    <row r="314" ht="14.25" customHeight="1" s="26"/>
    <row r="315" ht="14.25" customHeight="1" s="26"/>
    <row r="316" ht="14.25" customHeight="1" s="26"/>
    <row r="317" ht="14.25" customHeight="1" s="26"/>
    <row r="318" ht="14.25" customHeight="1" s="26"/>
    <row r="319" ht="14.25" customHeight="1" s="26"/>
    <row r="320" ht="14.25" customHeight="1" s="26"/>
    <row r="321" ht="14.25" customHeight="1" s="26"/>
    <row r="322" ht="14.25" customHeight="1" s="26"/>
    <row r="323" ht="14.25" customHeight="1" s="26"/>
    <row r="324" ht="14.25" customHeight="1" s="26"/>
    <row r="325" ht="14.25" customHeight="1" s="26"/>
    <row r="326" ht="14.25" customHeight="1" s="26"/>
    <row r="327" ht="14.25" customHeight="1" s="26"/>
    <row r="328" ht="14.25" customHeight="1" s="26"/>
    <row r="329" ht="14.25" customHeight="1" s="26"/>
    <row r="330" ht="14.25" customHeight="1" s="26"/>
    <row r="331" ht="14.25" customHeight="1" s="26"/>
    <row r="332" ht="14.25" customHeight="1" s="26"/>
    <row r="333" ht="14.25" customHeight="1" s="26"/>
    <row r="334" ht="14.25" customHeight="1" s="26"/>
    <row r="335" ht="14.25" customHeight="1" s="26"/>
    <row r="336" ht="14.25" customHeight="1" s="26"/>
    <row r="337" ht="14.25" customHeight="1" s="26"/>
    <row r="338" ht="14.25" customHeight="1" s="26"/>
    <row r="339" ht="14.25" customHeight="1" s="26"/>
    <row r="340" ht="14.25" customHeight="1" s="26"/>
    <row r="341" ht="14.25" customHeight="1" s="26"/>
    <row r="342" ht="14.25" customHeight="1" s="26"/>
    <row r="343" ht="14.25" customHeight="1" s="26"/>
    <row r="344" ht="14.25" customHeight="1" s="26"/>
    <row r="345" ht="14.25" customHeight="1" s="26"/>
    <row r="346" ht="14.25" customHeight="1" s="26"/>
    <row r="347" ht="14.25" customHeight="1" s="26"/>
    <row r="348" ht="14.25" customHeight="1" s="26"/>
    <row r="349" ht="14.25" customHeight="1" s="26"/>
    <row r="350" ht="14.25" customHeight="1" s="26"/>
    <row r="351" ht="14.25" customHeight="1" s="26"/>
    <row r="352" ht="14.25" customHeight="1" s="26"/>
    <row r="353" ht="14.25" customHeight="1" s="26"/>
    <row r="354" ht="14.25" customHeight="1" s="26"/>
    <row r="355" ht="14.25" customHeight="1" s="26"/>
    <row r="356" ht="14.25" customHeight="1" s="26"/>
    <row r="357" ht="14.25" customHeight="1" s="26"/>
    <row r="358" ht="14.25" customHeight="1" s="26"/>
    <row r="359" ht="14.25" customHeight="1" s="26"/>
    <row r="360" ht="14.25" customHeight="1" s="26"/>
    <row r="361" ht="14.25" customHeight="1" s="26"/>
    <row r="362" ht="14.25" customHeight="1" s="26"/>
    <row r="363" ht="14.25" customHeight="1" s="26"/>
    <row r="364" ht="14.25" customHeight="1" s="26"/>
    <row r="365" ht="14.25" customHeight="1" s="26"/>
    <row r="366" ht="14.25" customHeight="1" s="26"/>
    <row r="367" ht="14.25" customHeight="1" s="26"/>
    <row r="368" ht="14.25" customHeight="1" s="26"/>
    <row r="369" ht="14.25" customHeight="1" s="26"/>
    <row r="370" ht="14.25" customHeight="1" s="26"/>
    <row r="371" ht="14.25" customHeight="1" s="26"/>
    <row r="372" ht="14.25" customHeight="1" s="26"/>
    <row r="373" ht="14.25" customHeight="1" s="26"/>
    <row r="374" ht="14.25" customHeight="1" s="26"/>
    <row r="375" ht="14.25" customHeight="1" s="26"/>
    <row r="376" ht="14.25" customHeight="1" s="26"/>
    <row r="377" ht="14.25" customHeight="1" s="26"/>
    <row r="378" ht="14.25" customHeight="1" s="26"/>
    <row r="379" ht="14.25" customHeight="1" s="26"/>
    <row r="380" ht="14.25" customHeight="1" s="26"/>
    <row r="381" ht="14.25" customHeight="1" s="26"/>
    <row r="382" ht="14.25" customHeight="1" s="26"/>
    <row r="383" ht="14.25" customHeight="1" s="26"/>
    <row r="384" ht="14.25" customHeight="1" s="26"/>
    <row r="385" ht="14.25" customHeight="1" s="26"/>
    <row r="386" ht="14.25" customHeight="1" s="26"/>
    <row r="387" ht="14.25" customHeight="1" s="26"/>
    <row r="388" ht="14.25" customHeight="1" s="26"/>
    <row r="389" ht="14.25" customHeight="1" s="26"/>
    <row r="390" ht="14.25" customHeight="1" s="26"/>
    <row r="391" ht="14.25" customHeight="1" s="26"/>
    <row r="392" ht="14.25" customHeight="1" s="26"/>
    <row r="393" ht="14.25" customHeight="1" s="26"/>
    <row r="394" ht="14.25" customHeight="1" s="26"/>
    <row r="395" ht="14.25" customHeight="1" s="26"/>
    <row r="396" ht="14.25" customHeight="1" s="26"/>
    <row r="397" ht="14.25" customHeight="1" s="26"/>
    <row r="398" ht="14.25" customHeight="1" s="26"/>
    <row r="399" ht="14.25" customHeight="1" s="26"/>
    <row r="400" ht="14.25" customHeight="1" s="26"/>
    <row r="401" ht="14.25" customHeight="1" s="26"/>
    <row r="402" ht="14.25" customHeight="1" s="26"/>
    <row r="403" ht="14.25" customHeight="1" s="26"/>
    <row r="404" ht="14.25" customHeight="1" s="26"/>
    <row r="405" ht="14.25" customHeight="1" s="26"/>
    <row r="406" ht="14.25" customHeight="1" s="26"/>
    <row r="407" ht="14.25" customHeight="1" s="26"/>
    <row r="408" ht="14.25" customHeight="1" s="26"/>
    <row r="409" ht="14.25" customHeight="1" s="26"/>
    <row r="410" ht="14.25" customHeight="1" s="26"/>
    <row r="411" ht="14.25" customHeight="1" s="26"/>
    <row r="412" ht="14.25" customHeight="1" s="26"/>
    <row r="413" ht="14.25" customHeight="1" s="26"/>
    <row r="414" ht="14.25" customHeight="1" s="26"/>
    <row r="415" ht="14.25" customHeight="1" s="26"/>
    <row r="416" ht="14.25" customHeight="1" s="26"/>
    <row r="417" ht="14.25" customHeight="1" s="26"/>
    <row r="418" ht="14.25" customHeight="1" s="26"/>
    <row r="419" ht="14.25" customHeight="1" s="26"/>
    <row r="420" ht="14.25" customHeight="1" s="26"/>
    <row r="421" ht="14.25" customHeight="1" s="26"/>
    <row r="422" ht="14.25" customHeight="1" s="26"/>
    <row r="423" ht="14.25" customHeight="1" s="26"/>
    <row r="424" ht="14.25" customHeight="1" s="26"/>
    <row r="425" ht="14.25" customHeight="1" s="26"/>
    <row r="426" ht="14.25" customHeight="1" s="26"/>
    <row r="427" ht="14.25" customHeight="1" s="26"/>
    <row r="428" ht="14.25" customHeight="1" s="26"/>
    <row r="429" ht="14.25" customHeight="1" s="26"/>
    <row r="430" ht="14.25" customHeight="1" s="26"/>
    <row r="431" ht="14.25" customHeight="1" s="26"/>
    <row r="432" ht="14.25" customHeight="1" s="26"/>
    <row r="433" ht="14.25" customHeight="1" s="26"/>
    <row r="434" ht="14.25" customHeight="1" s="26"/>
    <row r="435" ht="14.25" customHeight="1" s="26"/>
    <row r="436" ht="14.25" customHeight="1" s="26"/>
    <row r="437" ht="14.25" customHeight="1" s="26"/>
    <row r="438" ht="14.25" customHeight="1" s="26"/>
    <row r="439" ht="14.25" customHeight="1" s="26"/>
    <row r="440" ht="14.25" customHeight="1" s="26"/>
    <row r="441" ht="14.25" customHeight="1" s="26"/>
    <row r="442" ht="14.25" customHeight="1" s="26"/>
    <row r="443" ht="14.25" customHeight="1" s="26"/>
    <row r="444" ht="14.25" customHeight="1" s="26"/>
    <row r="445" ht="14.25" customHeight="1" s="26"/>
    <row r="446" ht="14.25" customHeight="1" s="26"/>
    <row r="447" ht="14.25" customHeight="1" s="26"/>
    <row r="448" ht="14.25" customHeight="1" s="26"/>
    <row r="449" ht="14.25" customHeight="1" s="26"/>
    <row r="450" ht="14.25" customHeight="1" s="26"/>
    <row r="451" ht="14.25" customHeight="1" s="26"/>
    <row r="452" ht="14.25" customHeight="1" s="26"/>
    <row r="453" ht="14.25" customHeight="1" s="26"/>
    <row r="454" ht="14.25" customHeight="1" s="26"/>
    <row r="455" ht="14.25" customHeight="1" s="26"/>
    <row r="456" ht="14.25" customHeight="1" s="26"/>
    <row r="457" ht="14.25" customHeight="1" s="26"/>
    <row r="458" ht="14.25" customHeight="1" s="26"/>
    <row r="459" ht="14.25" customHeight="1" s="26"/>
    <row r="460" ht="14.25" customHeight="1" s="26"/>
    <row r="461" ht="14.25" customHeight="1" s="26"/>
    <row r="462" ht="14.25" customHeight="1" s="26"/>
    <row r="463" ht="14.25" customHeight="1" s="26"/>
    <row r="464" ht="14.25" customHeight="1" s="26"/>
    <row r="465" ht="14.25" customHeight="1" s="26"/>
    <row r="466" ht="14.25" customHeight="1" s="26"/>
    <row r="467" ht="14.25" customHeight="1" s="26"/>
    <row r="468" ht="14.25" customHeight="1" s="26"/>
    <row r="469" ht="14.25" customHeight="1" s="26"/>
    <row r="470" ht="14.25" customHeight="1" s="26"/>
    <row r="471" ht="14.25" customHeight="1" s="26"/>
    <row r="472" ht="14.25" customHeight="1" s="26"/>
    <row r="473" ht="14.25" customHeight="1" s="26"/>
    <row r="474" ht="14.25" customHeight="1" s="26"/>
    <row r="475" ht="14.25" customHeight="1" s="26"/>
    <row r="476" ht="14.25" customHeight="1" s="26"/>
    <row r="477" ht="14.25" customHeight="1" s="26"/>
    <row r="478" ht="14.25" customHeight="1" s="26"/>
    <row r="479" ht="14.25" customHeight="1" s="26"/>
    <row r="480" ht="14.25" customHeight="1" s="26"/>
    <row r="481" ht="14.25" customHeight="1" s="26"/>
    <row r="482" ht="14.25" customHeight="1" s="26"/>
    <row r="483" ht="14.25" customHeight="1" s="26"/>
    <row r="484" ht="14.25" customHeight="1" s="26"/>
    <row r="485" ht="14.25" customHeight="1" s="26"/>
    <row r="486" ht="14.25" customHeight="1" s="26"/>
    <row r="487" ht="14.25" customHeight="1" s="26"/>
    <row r="488" ht="14.25" customHeight="1" s="26"/>
    <row r="489" ht="14.25" customHeight="1" s="26"/>
    <row r="490" ht="14.25" customHeight="1" s="26"/>
    <row r="491" ht="14.25" customHeight="1" s="26"/>
    <row r="492" ht="14.25" customHeight="1" s="26"/>
    <row r="493" ht="14.25" customHeight="1" s="26"/>
    <row r="494" ht="14.25" customHeight="1" s="26"/>
    <row r="495" ht="14.25" customHeight="1" s="26"/>
    <row r="496" ht="14.25" customHeight="1" s="26"/>
    <row r="497" ht="14.25" customHeight="1" s="26"/>
    <row r="498" ht="14.25" customHeight="1" s="26"/>
    <row r="499" ht="14.25" customHeight="1" s="26"/>
    <row r="500" ht="14.25" customHeight="1" s="26"/>
    <row r="501" ht="14.25" customHeight="1" s="26"/>
    <row r="502" ht="14.25" customHeight="1" s="26"/>
    <row r="503" ht="14.25" customHeight="1" s="26"/>
    <row r="504" ht="14.25" customHeight="1" s="26"/>
    <row r="505" ht="14.25" customHeight="1" s="26"/>
    <row r="506" ht="14.25" customHeight="1" s="26"/>
    <row r="507" ht="14.25" customHeight="1" s="26"/>
    <row r="508" ht="14.25" customHeight="1" s="26"/>
    <row r="509" ht="14.25" customHeight="1" s="26"/>
    <row r="510" ht="14.25" customHeight="1" s="26"/>
    <row r="511" ht="14.25" customHeight="1" s="26"/>
    <row r="512" ht="14.25" customHeight="1" s="26"/>
    <row r="513" ht="14.25" customHeight="1" s="26"/>
    <row r="514" ht="14.25" customHeight="1" s="26"/>
    <row r="515" ht="14.25" customHeight="1" s="26"/>
    <row r="516" ht="14.25" customHeight="1" s="26"/>
    <row r="517" ht="14.25" customHeight="1" s="26"/>
    <row r="518" ht="14.25" customHeight="1" s="26"/>
    <row r="519" ht="14.25" customHeight="1" s="26"/>
    <row r="520" ht="14.25" customHeight="1" s="26"/>
    <row r="521" ht="14.25" customHeight="1" s="26"/>
    <row r="522" ht="14.25" customHeight="1" s="26"/>
    <row r="523" ht="14.25" customHeight="1" s="26"/>
    <row r="524" ht="14.25" customHeight="1" s="26"/>
    <row r="525" ht="14.25" customHeight="1" s="26"/>
    <row r="526" ht="14.25" customHeight="1" s="26"/>
    <row r="527" ht="14.25" customHeight="1" s="26"/>
    <row r="528" ht="14.25" customHeight="1" s="26"/>
    <row r="529" ht="14.25" customHeight="1" s="26"/>
    <row r="530" ht="14.25" customHeight="1" s="26"/>
    <row r="531" ht="14.25" customHeight="1" s="26"/>
    <row r="532" ht="14.25" customHeight="1" s="26"/>
    <row r="533" ht="14.25" customHeight="1" s="26"/>
    <row r="534" ht="14.25" customHeight="1" s="26"/>
    <row r="535" ht="14.25" customHeight="1" s="26"/>
    <row r="536" ht="14.25" customHeight="1" s="26"/>
    <row r="537" ht="14.25" customHeight="1" s="26"/>
    <row r="538" ht="14.25" customHeight="1" s="26"/>
    <row r="539" ht="14.25" customHeight="1" s="26"/>
    <row r="540" ht="14.25" customHeight="1" s="26"/>
    <row r="541" ht="14.25" customHeight="1" s="26"/>
    <row r="542" ht="14.25" customHeight="1" s="26"/>
    <row r="543" ht="14.25" customHeight="1" s="26"/>
    <row r="544" ht="14.25" customHeight="1" s="26"/>
    <row r="545" ht="14.25" customHeight="1" s="26"/>
    <row r="546" ht="14.25" customHeight="1" s="26"/>
    <row r="547" ht="14.25" customHeight="1" s="26"/>
    <row r="548" ht="14.25" customHeight="1" s="26"/>
    <row r="549" ht="14.25" customHeight="1" s="26"/>
    <row r="550" ht="14.25" customHeight="1" s="26"/>
    <row r="551" ht="14.25" customHeight="1" s="26"/>
    <row r="552" ht="14.25" customHeight="1" s="26"/>
    <row r="553" ht="14.25" customHeight="1" s="26"/>
    <row r="554" ht="14.25" customHeight="1" s="26"/>
    <row r="555" ht="14.25" customHeight="1" s="26"/>
    <row r="556" ht="14.25" customHeight="1" s="26"/>
    <row r="557" ht="14.25" customHeight="1" s="26"/>
    <row r="558" ht="14.25" customHeight="1" s="26"/>
    <row r="559" ht="14.25" customHeight="1" s="26"/>
    <row r="560" ht="14.25" customHeight="1" s="26"/>
    <row r="561" ht="14.25" customHeight="1" s="26"/>
    <row r="562" ht="14.25" customHeight="1" s="26"/>
    <row r="563" ht="14.25" customHeight="1" s="26"/>
    <row r="564" ht="14.25" customHeight="1" s="26"/>
    <row r="565" ht="14.25" customHeight="1" s="26"/>
    <row r="566" ht="14.25" customHeight="1" s="26"/>
    <row r="567" ht="14.25" customHeight="1" s="26"/>
    <row r="568" ht="14.25" customHeight="1" s="26"/>
    <row r="569" ht="14.25" customHeight="1" s="26"/>
    <row r="570" ht="14.25" customHeight="1" s="26"/>
    <row r="571" ht="14.25" customHeight="1" s="26"/>
    <row r="572" ht="14.25" customHeight="1" s="26"/>
    <row r="573" ht="14.25" customHeight="1" s="26"/>
    <row r="574" ht="14.25" customHeight="1" s="26"/>
    <row r="575" ht="14.25" customHeight="1" s="26"/>
    <row r="576" ht="14.25" customHeight="1" s="26"/>
    <row r="577" ht="14.25" customHeight="1" s="26"/>
    <row r="578" ht="14.25" customHeight="1" s="26"/>
    <row r="579" ht="14.25" customHeight="1" s="26"/>
    <row r="580" ht="14.25" customHeight="1" s="26"/>
    <row r="581" ht="14.25" customHeight="1" s="26"/>
    <row r="582" ht="14.25" customHeight="1" s="26"/>
    <row r="583" ht="14.25" customHeight="1" s="26"/>
    <row r="584" ht="14.25" customHeight="1" s="26"/>
    <row r="585" ht="14.25" customHeight="1" s="26"/>
    <row r="586" ht="14.25" customHeight="1" s="26"/>
    <row r="587" ht="14.25" customHeight="1" s="26"/>
    <row r="588" ht="14.25" customHeight="1" s="26"/>
    <row r="589" ht="14.25" customHeight="1" s="26"/>
    <row r="590" ht="14.25" customHeight="1" s="26"/>
    <row r="591" ht="14.25" customHeight="1" s="26"/>
    <row r="592" ht="14.25" customHeight="1" s="26"/>
    <row r="593" ht="14.25" customHeight="1" s="26"/>
    <row r="594" ht="14.25" customHeight="1" s="26"/>
    <row r="595" ht="14.25" customHeight="1" s="26"/>
    <row r="596" ht="14.25" customHeight="1" s="26"/>
    <row r="597" ht="14.25" customHeight="1" s="26"/>
    <row r="598" ht="14.25" customHeight="1" s="26"/>
    <row r="599" ht="14.25" customHeight="1" s="26"/>
    <row r="600" ht="14.25" customHeight="1" s="26"/>
    <row r="601" ht="14.25" customHeight="1" s="26"/>
    <row r="602" ht="14.25" customHeight="1" s="26"/>
    <row r="603" ht="14.25" customHeight="1" s="26"/>
    <row r="604" ht="14.25" customHeight="1" s="26"/>
    <row r="605" ht="14.25" customHeight="1" s="26"/>
    <row r="606" ht="14.25" customHeight="1" s="26"/>
    <row r="607" ht="14.25" customHeight="1" s="26"/>
    <row r="608" ht="14.25" customHeight="1" s="26"/>
    <row r="609" ht="14.25" customHeight="1" s="26"/>
    <row r="610" ht="14.25" customHeight="1" s="26"/>
    <row r="611" ht="14.25" customHeight="1" s="26"/>
    <row r="612" ht="14.25" customHeight="1" s="26"/>
    <row r="613" ht="14.25" customHeight="1" s="26"/>
    <row r="614" ht="14.25" customHeight="1" s="26"/>
    <row r="615" ht="14.25" customHeight="1" s="26"/>
    <row r="616" ht="14.25" customHeight="1" s="26"/>
    <row r="617" ht="14.25" customHeight="1" s="26"/>
    <row r="618" ht="14.25" customHeight="1" s="26"/>
    <row r="619" ht="14.25" customHeight="1" s="26"/>
    <row r="620" ht="14.25" customHeight="1" s="26"/>
    <row r="621" ht="14.25" customHeight="1" s="26"/>
    <row r="622" ht="14.25" customHeight="1" s="26"/>
    <row r="623" ht="14.25" customHeight="1" s="26"/>
    <row r="624" ht="14.25" customHeight="1" s="26"/>
    <row r="625" ht="14.25" customHeight="1" s="26"/>
    <row r="626" ht="14.25" customHeight="1" s="26"/>
    <row r="627" ht="14.25" customHeight="1" s="26"/>
    <row r="628" ht="14.25" customHeight="1" s="26"/>
    <row r="629" ht="14.25" customHeight="1" s="26"/>
    <row r="630" ht="14.25" customHeight="1" s="26"/>
    <row r="631" ht="14.25" customHeight="1" s="26"/>
    <row r="632" ht="14.25" customHeight="1" s="26"/>
    <row r="633" ht="14.25" customHeight="1" s="26"/>
    <row r="634" ht="14.25" customHeight="1" s="26"/>
    <row r="635" ht="14.25" customHeight="1" s="26"/>
    <row r="636" ht="14.25" customHeight="1" s="26"/>
    <row r="637" ht="14.25" customHeight="1" s="26"/>
    <row r="638" ht="14.25" customHeight="1" s="26"/>
    <row r="639" ht="14.25" customHeight="1" s="26"/>
    <row r="640" ht="14.25" customHeight="1" s="26"/>
    <row r="641" ht="14.25" customHeight="1" s="26"/>
    <row r="642" ht="14.25" customHeight="1" s="26"/>
    <row r="643" ht="14.25" customHeight="1" s="26"/>
    <row r="644" ht="14.25" customHeight="1" s="26"/>
    <row r="645" ht="14.25" customHeight="1" s="26"/>
    <row r="646" ht="14.25" customHeight="1" s="26"/>
    <row r="647" ht="14.25" customHeight="1" s="26"/>
    <row r="648" ht="14.25" customHeight="1" s="26"/>
    <row r="649" ht="14.25" customHeight="1" s="26"/>
    <row r="650" ht="14.25" customHeight="1" s="26"/>
    <row r="651" ht="14.25" customHeight="1" s="26"/>
    <row r="652" ht="14.25" customHeight="1" s="26"/>
    <row r="653" ht="14.25" customHeight="1" s="26"/>
    <row r="654" ht="14.25" customHeight="1" s="26"/>
    <row r="655" ht="14.25" customHeight="1" s="26"/>
    <row r="656" ht="14.25" customHeight="1" s="26"/>
    <row r="657" ht="14.25" customHeight="1" s="26"/>
    <row r="658" ht="14.25" customHeight="1" s="26"/>
    <row r="659" ht="14.25" customHeight="1" s="26"/>
    <row r="660" ht="14.25" customHeight="1" s="26"/>
    <row r="661" ht="14.25" customHeight="1" s="26"/>
    <row r="662" ht="14.25" customHeight="1" s="26"/>
    <row r="663" ht="14.25" customHeight="1" s="26"/>
    <row r="664" ht="14.25" customHeight="1" s="26"/>
    <row r="665" ht="14.25" customHeight="1" s="26"/>
    <row r="666" ht="14.25" customHeight="1" s="26"/>
    <row r="667" ht="14.25" customHeight="1" s="26"/>
    <row r="668" ht="14.25" customHeight="1" s="26"/>
    <row r="669" ht="14.25" customHeight="1" s="26"/>
    <row r="670" ht="14.25" customHeight="1" s="26"/>
    <row r="671" ht="14.25" customHeight="1" s="26"/>
    <row r="672" ht="14.25" customHeight="1" s="26"/>
    <row r="673" ht="14.25" customHeight="1" s="26"/>
    <row r="674" ht="14.25" customHeight="1" s="26"/>
    <row r="675" ht="14.25" customHeight="1" s="26"/>
    <row r="676" ht="14.25" customHeight="1" s="26"/>
    <row r="677" ht="14.25" customHeight="1" s="26"/>
    <row r="678" ht="14.25" customHeight="1" s="26"/>
    <row r="679" ht="14.25" customHeight="1" s="26"/>
    <row r="680" ht="14.25" customHeight="1" s="26"/>
    <row r="681" ht="14.25" customHeight="1" s="26"/>
    <row r="682" ht="14.25" customHeight="1" s="26"/>
    <row r="683" ht="14.25" customHeight="1" s="26"/>
    <row r="684" ht="14.25" customHeight="1" s="26"/>
    <row r="685" ht="14.25" customHeight="1" s="26"/>
    <row r="686" ht="14.25" customHeight="1" s="26"/>
    <row r="687" ht="14.25" customHeight="1" s="26"/>
    <row r="688" ht="14.25" customHeight="1" s="26"/>
    <row r="689" ht="14.25" customHeight="1" s="26"/>
    <row r="690" ht="14.25" customHeight="1" s="26"/>
    <row r="691" ht="14.25" customHeight="1" s="26"/>
    <row r="692" ht="14.25" customHeight="1" s="26"/>
    <row r="693" ht="14.25" customHeight="1" s="26"/>
    <row r="694" ht="14.25" customHeight="1" s="26"/>
    <row r="695" ht="14.25" customHeight="1" s="26"/>
    <row r="696" ht="14.25" customHeight="1" s="26"/>
    <row r="697" ht="14.25" customHeight="1" s="26"/>
    <row r="698" ht="14.25" customHeight="1" s="26"/>
    <row r="699" ht="14.25" customHeight="1" s="26"/>
    <row r="700" ht="14.25" customHeight="1" s="26"/>
    <row r="701" ht="14.25" customHeight="1" s="26"/>
    <row r="702" ht="14.25" customHeight="1" s="26"/>
    <row r="703" ht="14.25" customHeight="1" s="26"/>
    <row r="704" ht="14.25" customHeight="1" s="26"/>
    <row r="705" ht="14.25" customHeight="1" s="26"/>
    <row r="706" ht="14.25" customHeight="1" s="26"/>
    <row r="707" ht="14.25" customHeight="1" s="26"/>
    <row r="708" ht="14.25" customHeight="1" s="26"/>
    <row r="709" ht="14.25" customHeight="1" s="26"/>
    <row r="710" ht="14.25" customHeight="1" s="26"/>
    <row r="711" ht="14.25" customHeight="1" s="26"/>
    <row r="712" ht="14.25" customHeight="1" s="26"/>
    <row r="713" ht="14.25" customHeight="1" s="26"/>
    <row r="714" ht="14.25" customHeight="1" s="26"/>
    <row r="715" ht="14.25" customHeight="1" s="26"/>
    <row r="716" ht="14.25" customHeight="1" s="26"/>
    <row r="717" ht="14.25" customHeight="1" s="26"/>
    <row r="718" ht="14.25" customHeight="1" s="26"/>
    <row r="719" ht="14.25" customHeight="1" s="26"/>
    <row r="720" ht="14.25" customHeight="1" s="26"/>
    <row r="721" ht="14.25" customHeight="1" s="26"/>
    <row r="722" ht="14.25" customHeight="1" s="26"/>
    <row r="723" ht="14.25" customHeight="1" s="26"/>
    <row r="724" ht="14.25" customHeight="1" s="26"/>
    <row r="725" ht="14.25" customHeight="1" s="26"/>
    <row r="726" ht="14.25" customHeight="1" s="26"/>
    <row r="727" ht="14.25" customHeight="1" s="26"/>
    <row r="728" ht="14.25" customHeight="1" s="26"/>
    <row r="729" ht="14.25" customHeight="1" s="26"/>
    <row r="730" ht="14.25" customHeight="1" s="26"/>
    <row r="731" ht="14.25" customHeight="1" s="26"/>
    <row r="732" ht="14.25" customHeight="1" s="26"/>
    <row r="733" ht="14.25" customHeight="1" s="26"/>
    <row r="734" ht="14.25" customHeight="1" s="26"/>
    <row r="735" ht="14.25" customHeight="1" s="26"/>
    <row r="736" ht="14.25" customHeight="1" s="26"/>
    <row r="737" ht="14.25" customHeight="1" s="26"/>
    <row r="738" ht="14.25" customHeight="1" s="26"/>
    <row r="739" ht="14.25" customHeight="1" s="26"/>
    <row r="740" ht="14.25" customHeight="1" s="26"/>
    <row r="741" ht="14.25" customHeight="1" s="26"/>
    <row r="742" ht="14.25" customHeight="1" s="26"/>
    <row r="743" ht="14.25" customHeight="1" s="26"/>
    <row r="744" ht="14.25" customHeight="1" s="26"/>
    <row r="745" ht="14.25" customHeight="1" s="26"/>
    <row r="746" ht="14.25" customHeight="1" s="26"/>
    <row r="747" ht="14.25" customHeight="1" s="26"/>
    <row r="748" ht="14.25" customHeight="1" s="26"/>
    <row r="749" ht="14.25" customHeight="1" s="26"/>
    <row r="750" ht="14.25" customHeight="1" s="26"/>
    <row r="751" ht="14.25" customHeight="1" s="26"/>
    <row r="752" ht="14.25" customHeight="1" s="26"/>
    <row r="753" ht="14.25" customHeight="1" s="26"/>
    <row r="754" ht="14.25" customHeight="1" s="26"/>
    <row r="755" ht="14.25" customHeight="1" s="26"/>
    <row r="756" ht="14.25" customHeight="1" s="26"/>
    <row r="757" ht="14.25" customHeight="1" s="26"/>
    <row r="758" ht="14.25" customHeight="1" s="26"/>
    <row r="759" ht="14.25" customHeight="1" s="26"/>
    <row r="760" ht="14.25" customHeight="1" s="26"/>
    <row r="761" ht="14.25" customHeight="1" s="26"/>
    <row r="762" ht="14.25" customHeight="1" s="26"/>
    <row r="763" ht="14.25" customHeight="1" s="26"/>
    <row r="764" ht="14.25" customHeight="1" s="26"/>
    <row r="765" ht="14.25" customHeight="1" s="26"/>
    <row r="766" ht="14.25" customHeight="1" s="26"/>
    <row r="767" ht="14.25" customHeight="1" s="26"/>
    <row r="768" ht="14.25" customHeight="1" s="26"/>
    <row r="769" ht="14.25" customHeight="1" s="26"/>
    <row r="770" ht="14.25" customHeight="1" s="26"/>
    <row r="771" ht="14.25" customHeight="1" s="26"/>
    <row r="772" ht="14.25" customHeight="1" s="26"/>
    <row r="773" ht="14.25" customHeight="1" s="26"/>
    <row r="774" ht="14.25" customHeight="1" s="26"/>
    <row r="775" ht="14.25" customHeight="1" s="26"/>
    <row r="776" ht="14.25" customHeight="1" s="26"/>
    <row r="777" ht="14.25" customHeight="1" s="26"/>
    <row r="778" ht="14.25" customHeight="1" s="26"/>
    <row r="779" ht="14.25" customHeight="1" s="26"/>
    <row r="780" ht="14.25" customHeight="1" s="26"/>
    <row r="781" ht="14.25" customHeight="1" s="26"/>
    <row r="782" ht="14.25" customHeight="1" s="26"/>
    <row r="783" ht="14.25" customHeight="1" s="26"/>
    <row r="784" ht="14.25" customHeight="1" s="26"/>
    <row r="785" ht="14.25" customHeight="1" s="26"/>
    <row r="786" ht="14.25" customHeight="1" s="26"/>
    <row r="787" ht="14.25" customHeight="1" s="26"/>
    <row r="788" ht="14.25" customHeight="1" s="26"/>
    <row r="789" ht="14.25" customHeight="1" s="26"/>
    <row r="790" ht="14.25" customHeight="1" s="26"/>
    <row r="791" ht="14.25" customHeight="1" s="26"/>
    <row r="792" ht="14.25" customHeight="1" s="26"/>
    <row r="793" ht="14.25" customHeight="1" s="26"/>
    <row r="794" ht="14.25" customHeight="1" s="26"/>
    <row r="795" ht="14.25" customHeight="1" s="26"/>
    <row r="796" ht="14.25" customHeight="1" s="26"/>
    <row r="797" ht="14.25" customHeight="1" s="26"/>
    <row r="798" ht="14.25" customHeight="1" s="26"/>
    <row r="799" ht="14.25" customHeight="1" s="26"/>
    <row r="800" ht="14.25" customHeight="1" s="26"/>
    <row r="801" ht="14.25" customHeight="1" s="26"/>
    <row r="802" ht="14.25" customHeight="1" s="26"/>
    <row r="803" ht="14.25" customHeight="1" s="26"/>
    <row r="804" ht="14.25" customHeight="1" s="26"/>
    <row r="805" ht="14.25" customHeight="1" s="26"/>
    <row r="806" ht="14.25" customHeight="1" s="26"/>
    <row r="807" ht="14.25" customHeight="1" s="26"/>
    <row r="808" ht="14.25" customHeight="1" s="26"/>
    <row r="809" ht="14.25" customHeight="1" s="26"/>
    <row r="810" ht="14.25" customHeight="1" s="26"/>
    <row r="811" ht="14.25" customHeight="1" s="26"/>
    <row r="812" ht="14.25" customHeight="1" s="26"/>
    <row r="813" ht="14.25" customHeight="1" s="26"/>
    <row r="814" ht="14.25" customHeight="1" s="26"/>
    <row r="815" ht="14.25" customHeight="1" s="26"/>
    <row r="816" ht="14.25" customHeight="1" s="26"/>
    <row r="817" ht="14.25" customHeight="1" s="26"/>
    <row r="818" ht="14.25" customHeight="1" s="26"/>
    <row r="819" ht="14.25" customHeight="1" s="26"/>
    <row r="820" ht="14.25" customHeight="1" s="26"/>
    <row r="821" ht="14.25" customHeight="1" s="26"/>
    <row r="822" ht="14.25" customHeight="1" s="26"/>
    <row r="823" ht="14.25" customHeight="1" s="26"/>
    <row r="824" ht="14.25" customHeight="1" s="26"/>
    <row r="825" ht="14.25" customHeight="1" s="26"/>
    <row r="826" ht="14.25" customHeight="1" s="26"/>
    <row r="827" ht="14.25" customHeight="1" s="26"/>
    <row r="828" ht="14.25" customHeight="1" s="26"/>
    <row r="829" ht="14.25" customHeight="1" s="26"/>
    <row r="830" ht="14.25" customHeight="1" s="26"/>
    <row r="831" ht="14.25" customHeight="1" s="26"/>
    <row r="832" ht="14.25" customHeight="1" s="26"/>
    <row r="833" ht="14.25" customHeight="1" s="26"/>
    <row r="834" ht="14.25" customHeight="1" s="26"/>
    <row r="835" ht="14.25" customHeight="1" s="26"/>
    <row r="836" ht="14.25" customHeight="1" s="26"/>
    <row r="837" ht="14.25" customHeight="1" s="26"/>
    <row r="838" ht="14.25" customHeight="1" s="26"/>
    <row r="839" ht="14.25" customHeight="1" s="26"/>
    <row r="840" ht="14.25" customHeight="1" s="26"/>
    <row r="841" ht="14.25" customHeight="1" s="26"/>
    <row r="842" ht="14.25" customHeight="1" s="26"/>
    <row r="843" ht="14.25" customHeight="1" s="26"/>
    <row r="844" ht="14.25" customHeight="1" s="26"/>
    <row r="845" ht="14.25" customHeight="1" s="26"/>
    <row r="846" ht="14.25" customHeight="1" s="26"/>
    <row r="847" ht="14.25" customHeight="1" s="26"/>
    <row r="848" ht="14.25" customHeight="1" s="26"/>
    <row r="849" ht="14.25" customHeight="1" s="26"/>
    <row r="850" ht="14.25" customHeight="1" s="26"/>
    <row r="851" ht="14.25" customHeight="1" s="26"/>
    <row r="852" ht="14.25" customHeight="1" s="26"/>
    <row r="853" ht="14.25" customHeight="1" s="26"/>
    <row r="854" ht="14.25" customHeight="1" s="26"/>
    <row r="855" ht="14.25" customHeight="1" s="26"/>
    <row r="856" ht="14.25" customHeight="1" s="26"/>
    <row r="857" ht="14.25" customHeight="1" s="26"/>
    <row r="858" ht="14.25" customHeight="1" s="26"/>
    <row r="859" ht="14.25" customHeight="1" s="26"/>
    <row r="860" ht="14.25" customHeight="1" s="26"/>
    <row r="861" ht="14.25" customHeight="1" s="26"/>
    <row r="862" ht="14.25" customHeight="1" s="26"/>
    <row r="863" ht="14.25" customHeight="1" s="26"/>
    <row r="864" ht="14.25" customHeight="1" s="26"/>
    <row r="865" ht="14.25" customHeight="1" s="26"/>
    <row r="866" ht="14.25" customHeight="1" s="26"/>
    <row r="867" ht="14.25" customHeight="1" s="26"/>
    <row r="868" ht="14.25" customHeight="1" s="26"/>
    <row r="869" ht="14.25" customHeight="1" s="26"/>
    <row r="870" ht="14.25" customHeight="1" s="26"/>
    <row r="871" ht="14.25" customHeight="1" s="26"/>
    <row r="872" ht="14.25" customHeight="1" s="26"/>
    <row r="873" ht="14.25" customHeight="1" s="26"/>
    <row r="874" ht="14.25" customHeight="1" s="26"/>
    <row r="875" ht="14.25" customHeight="1" s="26"/>
    <row r="876" ht="14.25" customHeight="1" s="26"/>
    <row r="877" ht="14.25" customHeight="1" s="26"/>
    <row r="878" ht="14.25" customHeight="1" s="26"/>
    <row r="879" ht="14.25" customHeight="1" s="26"/>
    <row r="880" ht="14.25" customHeight="1" s="26"/>
    <row r="881" ht="14.25" customHeight="1" s="26"/>
    <row r="882" ht="14.25" customHeight="1" s="26"/>
    <row r="883" ht="14.25" customHeight="1" s="26"/>
    <row r="884" ht="14.25" customHeight="1" s="26"/>
    <row r="885" ht="14.25" customHeight="1" s="26"/>
    <row r="886" ht="14.25" customHeight="1" s="26"/>
    <row r="887" ht="14.25" customHeight="1" s="26"/>
    <row r="888" ht="14.25" customHeight="1" s="26"/>
    <row r="889" ht="14.25" customHeight="1" s="26"/>
    <row r="890" ht="14.25" customHeight="1" s="26"/>
    <row r="891" ht="14.25" customHeight="1" s="26"/>
    <row r="892" ht="14.25" customHeight="1" s="26"/>
    <row r="893" ht="14.25" customHeight="1" s="26"/>
    <row r="894" ht="14.25" customHeight="1" s="26"/>
    <row r="895" ht="14.25" customHeight="1" s="26"/>
    <row r="896" ht="14.25" customHeight="1" s="26"/>
    <row r="897" ht="14.25" customHeight="1" s="26"/>
    <row r="898" ht="14.25" customHeight="1" s="26"/>
    <row r="899" ht="14.25" customHeight="1" s="26"/>
    <row r="900" ht="14.25" customHeight="1" s="26"/>
    <row r="901" ht="14.25" customHeight="1" s="26"/>
    <row r="902" ht="14.25" customHeight="1" s="26"/>
    <row r="903" ht="14.25" customHeight="1" s="26"/>
    <row r="904" ht="14.25" customHeight="1" s="26"/>
    <row r="905" ht="14.25" customHeight="1" s="26"/>
    <row r="906" ht="14.25" customHeight="1" s="26"/>
    <row r="907" ht="14.25" customHeight="1" s="26"/>
    <row r="908" ht="14.25" customHeight="1" s="26"/>
    <row r="909" ht="14.25" customHeight="1" s="26"/>
    <row r="910" ht="14.25" customHeight="1" s="26"/>
    <row r="911" ht="14.25" customHeight="1" s="26"/>
    <row r="912" ht="14.25" customHeight="1" s="26"/>
    <row r="913" ht="14.25" customHeight="1" s="26"/>
    <row r="914" ht="14.25" customHeight="1" s="26"/>
    <row r="915" ht="14.25" customHeight="1" s="26"/>
    <row r="916" ht="14.25" customHeight="1" s="26"/>
    <row r="917" ht="14.25" customHeight="1" s="26"/>
    <row r="918" ht="14.25" customHeight="1" s="26"/>
    <row r="919" ht="14.25" customHeight="1" s="26"/>
    <row r="920" ht="14.25" customHeight="1" s="26"/>
    <row r="921" ht="14.25" customHeight="1" s="26"/>
    <row r="922" ht="14.25" customHeight="1" s="26"/>
    <row r="923" ht="14.25" customHeight="1" s="26"/>
    <row r="924" ht="14.25" customHeight="1" s="26"/>
    <row r="925" ht="14.25" customHeight="1" s="26"/>
    <row r="926" ht="14.25" customHeight="1" s="26"/>
    <row r="927" ht="14.25" customHeight="1" s="26"/>
    <row r="928" ht="14.25" customHeight="1" s="26"/>
    <row r="929" ht="14.25" customHeight="1" s="26"/>
    <row r="930" ht="14.25" customHeight="1" s="26"/>
    <row r="931" ht="14.25" customHeight="1" s="26"/>
    <row r="932" ht="14.25" customHeight="1" s="26"/>
    <row r="933" ht="14.25" customHeight="1" s="26"/>
    <row r="934" ht="14.25" customHeight="1" s="26"/>
    <row r="935" ht="14.25" customHeight="1" s="26"/>
    <row r="936" ht="14.25" customHeight="1" s="26"/>
    <row r="937" ht="14.25" customHeight="1" s="26"/>
    <row r="938" ht="14.25" customHeight="1" s="26"/>
    <row r="939" ht="14.25" customHeight="1" s="26"/>
    <row r="940" ht="14.25" customHeight="1" s="26"/>
    <row r="941" ht="14.25" customHeight="1" s="26"/>
    <row r="942" ht="14.25" customHeight="1" s="26"/>
    <row r="943" ht="14.25" customHeight="1" s="26"/>
    <row r="944" ht="14.25" customHeight="1" s="26"/>
    <row r="945" ht="14.25" customHeight="1" s="26"/>
    <row r="946" ht="14.25" customHeight="1" s="26"/>
    <row r="947" ht="14.25" customHeight="1" s="26"/>
    <row r="948" ht="14.25" customHeight="1" s="26"/>
    <row r="949" ht="14.25" customHeight="1" s="26"/>
    <row r="950" ht="14.25" customHeight="1" s="26"/>
    <row r="951" ht="14.25" customHeight="1" s="26"/>
    <row r="952" ht="14.25" customHeight="1" s="26"/>
    <row r="953" ht="14.25" customHeight="1" s="26"/>
    <row r="954" ht="14.25" customHeight="1" s="26"/>
    <row r="955" ht="14.25" customHeight="1" s="26"/>
    <row r="956" ht="14.25" customHeight="1" s="26"/>
    <row r="957" ht="14.25" customHeight="1" s="26"/>
    <row r="958" ht="14.25" customHeight="1" s="26"/>
    <row r="959" ht="14.25" customHeight="1" s="26"/>
    <row r="960" ht="14.25" customHeight="1" s="26"/>
    <row r="961" ht="14.25" customHeight="1" s="26"/>
    <row r="962" ht="14.25" customHeight="1" s="26"/>
    <row r="963" ht="14.25" customHeight="1" s="26"/>
    <row r="964" ht="14.25" customHeight="1" s="26"/>
    <row r="965" ht="14.25" customHeight="1" s="26"/>
    <row r="966" ht="14.25" customHeight="1" s="26"/>
    <row r="967" ht="14.25" customHeight="1" s="26"/>
    <row r="968" ht="14.25" customHeight="1" s="26"/>
    <row r="969" ht="14.25" customHeight="1" s="26"/>
    <row r="970" ht="14.25" customHeight="1" s="26"/>
    <row r="971" ht="14.25" customHeight="1" s="26"/>
    <row r="972" ht="14.25" customHeight="1" s="26"/>
    <row r="973" ht="14.25" customHeight="1" s="26"/>
    <row r="974" ht="14.25" customHeight="1" s="26"/>
    <row r="975" ht="14.25" customHeight="1" s="26"/>
    <row r="976" ht="14.25" customHeight="1" s="26"/>
    <row r="977" ht="14.25" customHeight="1" s="26"/>
    <row r="978" ht="14.25" customHeight="1" s="26"/>
    <row r="979" ht="14.25" customHeight="1" s="26"/>
    <row r="980" ht="14.25" customHeight="1" s="26"/>
    <row r="981" ht="14.25" customHeight="1" s="26"/>
    <row r="982" ht="14.25" customHeight="1" s="26"/>
    <row r="983" ht="14.25" customHeight="1" s="26"/>
    <row r="984" ht="14.25" customHeight="1" s="26"/>
    <row r="985" ht="14.25" customHeight="1" s="26"/>
    <row r="986" ht="14.25" customHeight="1" s="26"/>
    <row r="987" ht="14.25" customHeight="1" s="26"/>
    <row r="988" ht="14.25" customHeight="1" s="26"/>
    <row r="989" ht="14.25" customHeight="1" s="26"/>
    <row r="990" ht="14.25" customHeight="1" s="26"/>
    <row r="991" ht="14.25" customHeight="1" s="26"/>
    <row r="992" ht="14.25" customHeight="1" s="26"/>
    <row r="993" ht="14.25" customHeight="1" s="26"/>
    <row r="994" ht="14.25" customHeight="1" s="26"/>
    <row r="995" ht="14.25" customHeight="1" s="26"/>
    <row r="996" ht="14.25" customHeight="1" s="26"/>
    <row r="997" ht="14.25" customHeight="1" s="26"/>
    <row r="998" ht="14.25" customHeight="1" s="26"/>
    <row r="999" ht="14.25" customHeight="1" s="26"/>
    <row r="1000" ht="14.25" customHeight="1" s="26"/>
  </sheetData>
  <mergeCells count="14">
    <mergeCell ref="G2:I2"/>
    <mergeCell ref="A12:A16"/>
    <mergeCell ref="G12:H12"/>
    <mergeCell ref="G16:H16"/>
    <mergeCell ref="E25:F25"/>
    <mergeCell ref="G15:H15"/>
    <mergeCell ref="G11:H11"/>
    <mergeCell ref="E27:G29"/>
    <mergeCell ref="G14:H14"/>
    <mergeCell ref="E23:E24"/>
    <mergeCell ref="E21:G21"/>
    <mergeCell ref="C10:F10"/>
    <mergeCell ref="B8:C8"/>
    <mergeCell ref="G13:H1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5" customWidth="1" style="26" min="1" max="1"/>
    <col width="18.5" customWidth="1" style="26" min="2" max="2"/>
    <col width="33.38" customWidth="1" style="26" min="3" max="3"/>
    <col width="16.25" customWidth="1" style="26" min="4" max="4"/>
    <col width="29.75" customWidth="1" style="26" min="5" max="5"/>
    <col width="21.88" customWidth="1" style="26" min="6" max="6"/>
    <col width="26.63" customWidth="1" style="26" min="7" max="7"/>
    <col width="32.88" customWidth="1" style="26" min="8" max="8"/>
    <col width="27.88" customWidth="1" style="26" min="9" max="9"/>
    <col width="16" customWidth="1" style="26" min="10" max="10"/>
    <col width="9.25" customWidth="1" style="26" min="11" max="11"/>
    <col width="14.38" customWidth="1" style="26" min="12" max="12"/>
    <col width="14.75" customWidth="1" style="26" min="13" max="13"/>
    <col width="9.880000000000001" customWidth="1" style="26" min="14" max="14"/>
    <col width="12.88" customWidth="1" style="26" min="15" max="15"/>
    <col width="8.75" customWidth="1" style="26" min="16" max="16"/>
    <col width="8.630000000000001" customWidth="1" style="26" min="17" max="26"/>
  </cols>
  <sheetData>
    <row r="1" ht="14.25" customHeight="1" s="26">
      <c r="A1" s="27" t="inlineStr">
        <is>
          <t>Parameters (Input data)</t>
        </is>
      </c>
      <c r="D1" s="9" t="n"/>
      <c r="E1" s="9"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26">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26">
      <c r="A3" s="24" t="inlineStr">
        <is>
          <t>Demand Figures</t>
        </is>
      </c>
      <c r="D3" s="1" t="n"/>
      <c r="E3" s="24" t="inlineStr">
        <is>
          <t>Supply Availability Figures</t>
        </is>
      </c>
      <c r="H3" s="1" t="n"/>
      <c r="I3" s="1" t="n"/>
      <c r="J3" s="24" t="inlineStr">
        <is>
          <t>Supplier --&gt; Plant transportation cost matrix</t>
        </is>
      </c>
      <c r="N3" s="1" t="n"/>
      <c r="O3" s="1" t="n"/>
      <c r="P3" s="1" t="n"/>
      <c r="Q3" s="1" t="n"/>
      <c r="R3" s="1" t="n"/>
      <c r="S3" s="1" t="n"/>
      <c r="T3" s="1" t="n"/>
      <c r="U3" s="1" t="n"/>
      <c r="V3" s="1" t="n"/>
      <c r="W3" s="1" t="n"/>
      <c r="X3" s="1" t="n"/>
      <c r="Y3" s="1" t="n"/>
      <c r="Z3" s="1" t="n"/>
    </row>
    <row r="4" ht="14.25" customHeight="1" s="26">
      <c r="A4" s="2" t="inlineStr">
        <is>
          <t>Customer Zone</t>
        </is>
      </c>
      <c r="B4" s="2" t="inlineStr">
        <is>
          <t>City/Region</t>
        </is>
      </c>
      <c r="C4" s="2" t="inlineStr">
        <is>
          <t>Demand (Units)</t>
        </is>
      </c>
      <c r="D4" s="1" t="n"/>
      <c r="E4" s="2" t="inlineStr">
        <is>
          <t>Supplier</t>
        </is>
      </c>
      <c r="F4" s="2" t="inlineStr">
        <is>
          <t>Location</t>
        </is>
      </c>
      <c r="G4" s="2" t="inlineStr">
        <is>
          <t>Capacity</t>
        </is>
      </c>
      <c r="H4" s="1" t="n"/>
      <c r="I4" s="1" t="n"/>
      <c r="J4" s="2" t="inlineStr">
        <is>
          <t>Supplier/Plant</t>
        </is>
      </c>
      <c r="K4" s="1" t="inlineStr">
        <is>
          <t>Sanand</t>
        </is>
      </c>
      <c r="L4" s="1" t="inlineStr">
        <is>
          <t>Sriperumbudur</t>
        </is>
      </c>
      <c r="M4" s="1" t="inlineStr">
        <is>
          <t>Pune</t>
        </is>
      </c>
      <c r="N4" s="1" t="n"/>
      <c r="O4" s="1" t="n"/>
      <c r="P4" s="1" t="n"/>
      <c r="Q4" s="1" t="n"/>
      <c r="R4" s="1" t="n"/>
      <c r="S4" s="1" t="n"/>
      <c r="T4" s="1" t="n"/>
      <c r="U4" s="1" t="n"/>
      <c r="V4" s="1" t="n"/>
      <c r="W4" s="1" t="n"/>
      <c r="X4" s="1" t="n"/>
      <c r="Y4" s="1" t="n"/>
      <c r="Z4" s="1" t="n"/>
    </row>
    <row r="5" ht="14.25" customHeight="1" s="26">
      <c r="A5" s="1" t="n">
        <v>1</v>
      </c>
      <c r="B5" s="1" t="inlineStr">
        <is>
          <t>Delhi</t>
        </is>
      </c>
      <c r="C5" s="1" t="n">
        <v>15000</v>
      </c>
      <c r="D5" s="1" t="n"/>
      <c r="E5" s="1" t="n">
        <v>1</v>
      </c>
      <c r="F5" s="1" t="inlineStr">
        <is>
          <t>Jamnagar</t>
        </is>
      </c>
      <c r="G5" s="1" t="n">
        <v>40000</v>
      </c>
      <c r="H5" s="1" t="n"/>
      <c r="I5" s="1" t="n"/>
      <c r="J5" s="1" t="inlineStr">
        <is>
          <t>Jamnagar</t>
        </is>
      </c>
      <c r="K5" s="1" t="n">
        <v>25</v>
      </c>
      <c r="L5" s="1" t="n">
        <v>85</v>
      </c>
      <c r="M5" s="1" t="n">
        <v>45</v>
      </c>
      <c r="N5" s="1" t="n"/>
      <c r="O5" s="1" t="n"/>
      <c r="P5" s="1" t="n"/>
      <c r="Q5" s="1" t="n"/>
      <c r="R5" s="1" t="n"/>
      <c r="S5" s="1" t="n"/>
      <c r="T5" s="1" t="n"/>
      <c r="U5" s="1" t="n"/>
      <c r="V5" s="1" t="n"/>
      <c r="W5" s="1" t="n"/>
      <c r="X5" s="1" t="n"/>
      <c r="Y5" s="1" t="n"/>
      <c r="Z5" s="1" t="n"/>
    </row>
    <row r="6" ht="14.25" customHeight="1" s="26">
      <c r="A6" s="1" t="n">
        <v>2</v>
      </c>
      <c r="B6" s="1" t="inlineStr">
        <is>
          <t>Mumbai</t>
        </is>
      </c>
      <c r="C6" s="1" t="n">
        <v>18000</v>
      </c>
      <c r="D6" s="1" t="n"/>
      <c r="E6" s="1" t="n">
        <v>2</v>
      </c>
      <c r="F6" s="1" t="inlineStr">
        <is>
          <t>Bhilai</t>
        </is>
      </c>
      <c r="G6" s="1" t="n">
        <v>45000</v>
      </c>
      <c r="H6" s="1" t="n"/>
      <c r="I6" s="1" t="n"/>
      <c r="J6" s="1" t="inlineStr">
        <is>
          <t>Bhilai</t>
        </is>
      </c>
      <c r="K6" s="1" t="n">
        <v>65</v>
      </c>
      <c r="L6" s="1" t="n">
        <v>70</v>
      </c>
      <c r="M6" s="1" t="n">
        <v>55</v>
      </c>
      <c r="N6" s="1" t="n"/>
      <c r="O6" s="1" t="n"/>
      <c r="P6" s="1" t="n"/>
      <c r="Q6" s="1" t="n"/>
      <c r="R6" s="1" t="n"/>
      <c r="S6" s="1" t="n"/>
      <c r="T6" s="1" t="n"/>
      <c r="U6" s="1" t="n"/>
      <c r="V6" s="1" t="n"/>
      <c r="W6" s="1" t="n"/>
      <c r="X6" s="1" t="n"/>
      <c r="Y6" s="1" t="n"/>
      <c r="Z6" s="1" t="n"/>
    </row>
    <row r="7" ht="14.25" customHeight="1" s="26">
      <c r="A7" s="1" t="n">
        <v>3</v>
      </c>
      <c r="B7" s="1" t="inlineStr">
        <is>
          <t>Bengaluru</t>
        </is>
      </c>
      <c r="C7" s="1" t="n">
        <v>12000</v>
      </c>
      <c r="D7" s="1" t="n"/>
      <c r="E7" s="1" t="n">
        <v>3</v>
      </c>
      <c r="F7" s="1" t="inlineStr">
        <is>
          <t>Bellary</t>
        </is>
      </c>
      <c r="G7" s="1" t="n">
        <v>35000</v>
      </c>
      <c r="H7" s="1" t="n"/>
      <c r="I7" s="1" t="n"/>
      <c r="J7" s="1" t="inlineStr">
        <is>
          <t>Bellary</t>
        </is>
      </c>
      <c r="K7" s="1" t="n">
        <v>75</v>
      </c>
      <c r="L7" s="1" t="n">
        <v>30</v>
      </c>
      <c r="M7" s="1" t="n">
        <v>50</v>
      </c>
      <c r="N7" s="1" t="n"/>
      <c r="O7" s="1" t="n"/>
      <c r="P7" s="1" t="n"/>
      <c r="Q7" s="1" t="n"/>
      <c r="R7" s="1" t="n"/>
      <c r="S7" s="1" t="n"/>
      <c r="T7" s="1" t="n"/>
      <c r="U7" s="1" t="n"/>
      <c r="V7" s="1" t="n"/>
      <c r="W7" s="1" t="n"/>
      <c r="X7" s="1" t="n"/>
      <c r="Y7" s="1" t="n"/>
      <c r="Z7" s="1" t="n"/>
    </row>
    <row r="8" ht="14.25" customHeight="1" s="26">
      <c r="A8" s="1" t="n">
        <v>4</v>
      </c>
      <c r="B8" s="1" t="inlineStr">
        <is>
          <t>Chennai</t>
        </is>
      </c>
      <c r="C8" s="1" t="n">
        <v>10000</v>
      </c>
      <c r="D8" s="1" t="n"/>
      <c r="E8" s="1" t="n"/>
      <c r="F8" s="2" t="inlineStr">
        <is>
          <t>Total Supply Capacity</t>
        </is>
      </c>
      <c r="G8" s="1">
        <f>SUM(G5:G7)</f>
        <v/>
      </c>
      <c r="H8" s="1" t="n"/>
      <c r="I8" s="1" t="n"/>
      <c r="J8" s="1" t="n"/>
      <c r="K8" s="1" t="n"/>
      <c r="L8" s="1" t="n"/>
      <c r="M8" s="1" t="n"/>
      <c r="N8" s="1" t="n"/>
      <c r="O8" s="1" t="n"/>
      <c r="P8" s="1" t="n"/>
      <c r="Q8" s="1" t="n"/>
      <c r="R8" s="1" t="n"/>
      <c r="S8" s="1" t="n"/>
      <c r="T8" s="1" t="n"/>
      <c r="U8" s="1" t="n"/>
      <c r="V8" s="1" t="n"/>
      <c r="W8" s="1" t="n"/>
      <c r="X8" s="1" t="n"/>
      <c r="Y8" s="1" t="n"/>
      <c r="Z8" s="1" t="n"/>
    </row>
    <row r="9" ht="14.25" customHeight="1" s="26">
      <c r="A9" s="1" t="n">
        <v>5</v>
      </c>
      <c r="B9" s="1" t="inlineStr">
        <is>
          <t>Hyderabad</t>
        </is>
      </c>
      <c r="C9" s="1" t="n">
        <v>9000</v>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4.25" customHeight="1" s="26">
      <c r="A10" s="1" t="n">
        <v>6</v>
      </c>
      <c r="B10" s="1" t="inlineStr">
        <is>
          <t>Kolkata</t>
        </is>
      </c>
      <c r="C10" s="1" t="n">
        <v>8000</v>
      </c>
      <c r="D10" s="1" t="n"/>
      <c r="E10" s="24" t="inlineStr">
        <is>
          <t>Production Capacity Figures</t>
        </is>
      </c>
      <c r="I10" s="1" t="n"/>
      <c r="J10" s="24" t="inlineStr">
        <is>
          <t>Plant --&gt; DC transportation cost matrix</t>
        </is>
      </c>
      <c r="P10" s="18" t="n"/>
      <c r="Q10" s="1" t="n"/>
      <c r="R10" s="1" t="n"/>
      <c r="S10" s="1" t="n"/>
      <c r="T10" s="1" t="n"/>
      <c r="U10" s="1" t="n"/>
      <c r="V10" s="1" t="n"/>
      <c r="W10" s="1" t="n"/>
      <c r="X10" s="1" t="n"/>
      <c r="Y10" s="1" t="n"/>
      <c r="Z10" s="1" t="n"/>
    </row>
    <row r="11" ht="14.25" customHeight="1" s="26">
      <c r="A11" s="1" t="n"/>
      <c r="B11" s="2" t="inlineStr">
        <is>
          <t>Total Demand</t>
        </is>
      </c>
      <c r="C11" s="1">
        <f>SUM(C5:C10)</f>
        <v/>
      </c>
      <c r="D11" s="1" t="n"/>
      <c r="E11" s="2" t="inlineStr">
        <is>
          <t>Plant</t>
        </is>
      </c>
      <c r="F11" s="2" t="inlineStr">
        <is>
          <t>Candidate Location</t>
        </is>
      </c>
      <c r="G11" s="2" t="inlineStr">
        <is>
          <t>Fixed Opening Cost</t>
        </is>
      </c>
      <c r="H11" s="2" t="inlineStr">
        <is>
          <t>Max. Capacity</t>
        </is>
      </c>
      <c r="I11" s="1" t="n"/>
      <c r="J11" s="2" t="inlineStr">
        <is>
          <t>Plant/DC</t>
        </is>
      </c>
      <c r="K11" s="1" t="inlineStr">
        <is>
          <t>Nagpur</t>
        </is>
      </c>
      <c r="L11" s="1" t="inlineStr">
        <is>
          <t>Bhiwandi</t>
        </is>
      </c>
      <c r="M11" s="1" t="inlineStr">
        <is>
          <t>Greater Noida</t>
        </is>
      </c>
      <c r="N11" s="1" t="inlineStr">
        <is>
          <t>Hosur</t>
        </is>
      </c>
      <c r="O11" s="1" t="inlineStr">
        <is>
          <t>Dankuni</t>
        </is>
      </c>
      <c r="P11" s="1" t="n"/>
      <c r="Q11" s="1" t="n"/>
      <c r="R11" s="1" t="n"/>
      <c r="S11" s="1" t="n"/>
      <c r="T11" s="1" t="n"/>
      <c r="U11" s="1" t="n"/>
      <c r="V11" s="1" t="n"/>
      <c r="W11" s="1" t="n"/>
      <c r="X11" s="1" t="n"/>
      <c r="Y11" s="1" t="n"/>
      <c r="Z11" s="1" t="n"/>
    </row>
    <row r="12" ht="14.25" customHeight="1" s="26">
      <c r="A12" s="1" t="n"/>
      <c r="B12" s="1" t="n"/>
      <c r="C12" s="1" t="n"/>
      <c r="D12" s="1" t="n"/>
      <c r="E12" s="1" t="n">
        <v>1</v>
      </c>
      <c r="F12" s="1" t="inlineStr">
        <is>
          <t>Sanand</t>
        </is>
      </c>
      <c r="G12" s="1" t="n">
        <v>25000000</v>
      </c>
      <c r="H12" s="1" t="n">
        <v>40000</v>
      </c>
      <c r="I12" s="1" t="n"/>
      <c r="J12" s="1" t="inlineStr">
        <is>
          <t>Sanand</t>
        </is>
      </c>
      <c r="K12" s="1" t="n">
        <v>50</v>
      </c>
      <c r="L12" s="1" t="n">
        <v>35</v>
      </c>
      <c r="M12" s="1" t="n">
        <v>55</v>
      </c>
      <c r="N12" s="1" t="n">
        <v>80</v>
      </c>
      <c r="O12" s="1" t="n">
        <v>95</v>
      </c>
      <c r="P12" s="1" t="n"/>
      <c r="Q12" s="1" t="n"/>
      <c r="R12" s="1" t="n"/>
      <c r="S12" s="1" t="n"/>
      <c r="T12" s="1" t="n"/>
      <c r="U12" s="1" t="n"/>
      <c r="V12" s="1" t="n"/>
      <c r="W12" s="1" t="n"/>
      <c r="X12" s="1" t="n"/>
      <c r="Y12" s="1" t="n"/>
      <c r="Z12" s="1" t="n"/>
    </row>
    <row r="13" ht="14.25" customHeight="1" s="26">
      <c r="A13" s="27" t="inlineStr">
        <is>
          <t>Decision Variables</t>
        </is>
      </c>
      <c r="D13" s="1" t="n"/>
      <c r="E13" s="1" t="n">
        <v>2</v>
      </c>
      <c r="F13" s="1" t="inlineStr">
        <is>
          <t>Sriperumbudur</t>
        </is>
      </c>
      <c r="G13" s="1" t="n">
        <v>22000000</v>
      </c>
      <c r="H13" s="1" t="n">
        <v>35000</v>
      </c>
      <c r="I13" s="1" t="n"/>
      <c r="J13" s="1" t="inlineStr">
        <is>
          <t>Sriperumbudur</t>
        </is>
      </c>
      <c r="K13" s="1" t="n">
        <v>60</v>
      </c>
      <c r="L13" s="1" t="n">
        <v>75</v>
      </c>
      <c r="M13" s="1" t="n">
        <v>110</v>
      </c>
      <c r="N13" s="1" t="n">
        <v>25</v>
      </c>
      <c r="O13" s="1" t="n">
        <v>90</v>
      </c>
      <c r="P13" s="1" t="n"/>
      <c r="Q13" s="1" t="n"/>
      <c r="R13" s="1" t="n"/>
      <c r="S13" s="1" t="n"/>
      <c r="T13" s="1" t="n"/>
      <c r="U13" s="1" t="n"/>
      <c r="V13" s="1" t="n"/>
      <c r="W13" s="1" t="n"/>
      <c r="X13" s="1" t="n"/>
      <c r="Y13" s="1" t="n"/>
      <c r="Z13" s="1" t="n"/>
    </row>
    <row r="14" ht="14.25" customHeight="1" s="26">
      <c r="A14" s="1" t="n"/>
      <c r="B14" s="1" t="n"/>
      <c r="C14" s="1" t="n"/>
      <c r="D14" s="1" t="n"/>
      <c r="E14" s="1" t="n">
        <v>3</v>
      </c>
      <c r="F14" s="1" t="inlineStr">
        <is>
          <t>Pune</t>
        </is>
      </c>
      <c r="G14" s="1" t="n">
        <v>28000000</v>
      </c>
      <c r="H14" s="1" t="n">
        <v>45000</v>
      </c>
      <c r="I14" s="1" t="n"/>
      <c r="J14" s="1" t="inlineStr">
        <is>
          <t>Pune</t>
        </is>
      </c>
      <c r="K14" s="1" t="n">
        <v>40</v>
      </c>
      <c r="L14" s="1" t="n">
        <v>25</v>
      </c>
      <c r="M14" s="1" t="n">
        <v>70</v>
      </c>
      <c r="N14" s="1" t="n">
        <v>60</v>
      </c>
      <c r="O14" s="1" t="n">
        <v>85</v>
      </c>
      <c r="P14" s="1" t="n"/>
      <c r="Q14" s="1" t="n"/>
      <c r="R14" s="1" t="n"/>
      <c r="S14" s="1" t="n"/>
      <c r="T14" s="1" t="n"/>
      <c r="U14" s="1" t="n"/>
      <c r="V14" s="1" t="n"/>
      <c r="W14" s="1" t="n"/>
      <c r="X14" s="1" t="n"/>
      <c r="Y14" s="1" t="n"/>
      <c r="Z14" s="1" t="n"/>
    </row>
    <row r="15" ht="14.25" customHeight="1" s="26">
      <c r="A15" s="24" t="inlineStr">
        <is>
          <t>Facility Opening binaries</t>
        </is>
      </c>
      <c r="D15" s="1" t="n"/>
      <c r="E15" s="1" t="n"/>
      <c r="F15" s="1" t="n"/>
      <c r="G15" s="2" t="inlineStr">
        <is>
          <t>Total Production Capacity</t>
        </is>
      </c>
      <c r="H15" s="1">
        <f>SUM(H12:H14)</f>
        <v/>
      </c>
      <c r="I15" s="1" t="n"/>
      <c r="J15" s="1" t="n"/>
      <c r="K15" s="1" t="n"/>
      <c r="L15" s="1" t="n"/>
      <c r="M15" s="1" t="n"/>
      <c r="N15" s="1" t="n"/>
      <c r="O15" s="1" t="n"/>
      <c r="P15" s="1" t="n"/>
      <c r="Q15" s="1" t="n"/>
      <c r="R15" s="1" t="n"/>
      <c r="S15" s="1" t="n"/>
      <c r="T15" s="1" t="n"/>
      <c r="U15" s="1" t="n"/>
      <c r="V15" s="1" t="n"/>
      <c r="W15" s="1" t="n"/>
      <c r="X15" s="1" t="n"/>
      <c r="Y15" s="1" t="n"/>
      <c r="Z15" s="1" t="n"/>
    </row>
    <row r="16" ht="14.25" customHeight="1" s="26">
      <c r="A16" s="2" t="inlineStr">
        <is>
          <t xml:space="preserve">Plant </t>
        </is>
      </c>
      <c r="B16" s="2" t="inlineStr">
        <is>
          <t>Opening Status</t>
        </is>
      </c>
      <c r="C16" s="2" t="inlineStr">
        <is>
          <t>RHS of Plant Capacity Constraint</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26">
      <c r="A17" s="1" t="n">
        <v>1</v>
      </c>
      <c r="B17" s="1" t="n">
        <v>1</v>
      </c>
      <c r="C17" s="1">
        <f>B17*H12</f>
        <v/>
      </c>
      <c r="D17" s="1" t="n"/>
      <c r="E17" s="24" t="inlineStr">
        <is>
          <t>Distribution Capacity Figures</t>
        </is>
      </c>
      <c r="I17" s="1" t="n"/>
      <c r="J17" s="24" t="inlineStr">
        <is>
          <t>DC --&gt; Customer Zone transportation cost matrix</t>
        </is>
      </c>
      <c r="Q17" s="1" t="n"/>
      <c r="R17" s="1" t="n"/>
      <c r="S17" s="1" t="n"/>
      <c r="T17" s="1" t="n"/>
      <c r="U17" s="1" t="n"/>
      <c r="V17" s="1" t="n"/>
      <c r="W17" s="1" t="n"/>
      <c r="X17" s="1" t="n"/>
      <c r="Y17" s="1" t="n"/>
      <c r="Z17" s="1" t="n"/>
    </row>
    <row r="18" ht="14.25" customHeight="1" s="26">
      <c r="A18" s="1" t="n">
        <v>2</v>
      </c>
      <c r="B18" s="1" t="n">
        <v>1</v>
      </c>
      <c r="C18" s="1">
        <f>B18*H13</f>
        <v/>
      </c>
      <c r="D18" s="1" t="n"/>
      <c r="E18" s="2" t="inlineStr">
        <is>
          <t>DC</t>
        </is>
      </c>
      <c r="F18" s="2" t="inlineStr">
        <is>
          <t>Candidate Location</t>
        </is>
      </c>
      <c r="G18" s="2" t="inlineStr">
        <is>
          <t>Fixed Opening Cost</t>
        </is>
      </c>
      <c r="H18" s="2" t="inlineStr">
        <is>
          <t>Handling Capacity</t>
        </is>
      </c>
      <c r="I18" s="1" t="n"/>
      <c r="J18" s="2" t="inlineStr">
        <is>
          <t>DC/CZ</t>
        </is>
      </c>
      <c r="K18" s="1" t="inlineStr">
        <is>
          <t>Delhi</t>
        </is>
      </c>
      <c r="L18" s="1" t="inlineStr">
        <is>
          <t>Mumbai</t>
        </is>
      </c>
      <c r="M18" s="1" t="inlineStr">
        <is>
          <t>Bengaluru</t>
        </is>
      </c>
      <c r="N18" s="1" t="inlineStr">
        <is>
          <t>Chennai</t>
        </is>
      </c>
      <c r="O18" s="1" t="inlineStr">
        <is>
          <t>Hyderabad</t>
        </is>
      </c>
      <c r="P18" s="1" t="inlineStr">
        <is>
          <t>Kolkata</t>
        </is>
      </c>
      <c r="Q18" s="1" t="n"/>
      <c r="R18" s="1" t="n"/>
      <c r="S18" s="1" t="n"/>
      <c r="T18" s="1" t="n"/>
      <c r="U18" s="1" t="n"/>
      <c r="V18" s="1" t="n"/>
      <c r="W18" s="1" t="n"/>
      <c r="X18" s="1" t="n"/>
      <c r="Y18" s="1" t="n"/>
      <c r="Z18" s="1" t="n"/>
    </row>
    <row r="19" ht="14.25" customHeight="1" s="26">
      <c r="A19" s="1" t="n">
        <v>3</v>
      </c>
      <c r="B19" s="1" t="n">
        <v>0</v>
      </c>
      <c r="C19" s="1">
        <f>B19*H14</f>
        <v/>
      </c>
      <c r="D19" s="1" t="n"/>
      <c r="E19" s="1" t="n">
        <v>1</v>
      </c>
      <c r="F19" s="1" t="inlineStr">
        <is>
          <t>Nagpur</t>
        </is>
      </c>
      <c r="G19" s="1" t="n">
        <v>8000000</v>
      </c>
      <c r="H19" s="1" t="n">
        <v>30000</v>
      </c>
      <c r="I19" s="1" t="n"/>
      <c r="J19" s="1" t="inlineStr">
        <is>
          <t>Nagpur</t>
        </is>
      </c>
      <c r="K19" s="1" t="n">
        <v>55</v>
      </c>
      <c r="L19" s="1" t="n">
        <v>45</v>
      </c>
      <c r="M19" s="1" t="n">
        <v>50</v>
      </c>
      <c r="N19" s="1" t="n">
        <v>55</v>
      </c>
      <c r="O19" s="1" t="n">
        <v>35</v>
      </c>
      <c r="P19" s="1" t="n">
        <v>60</v>
      </c>
      <c r="Q19" s="1" t="n"/>
      <c r="R19" s="1" t="n"/>
      <c r="S19" s="1" t="n"/>
      <c r="T19" s="1" t="n"/>
      <c r="U19" s="1" t="n"/>
      <c r="V19" s="1" t="n"/>
      <c r="W19" s="1" t="n"/>
      <c r="X19" s="1" t="n"/>
      <c r="Y19" s="1" t="n"/>
      <c r="Z19" s="1" t="n"/>
    </row>
    <row r="20" ht="14.25" customHeight="1" s="26">
      <c r="A20" s="1" t="n"/>
      <c r="B20" s="1" t="n"/>
      <c r="C20" s="1" t="n"/>
      <c r="D20" s="1" t="n"/>
      <c r="E20" s="1" t="n">
        <v>2</v>
      </c>
      <c r="F20" s="1" t="inlineStr">
        <is>
          <t>Bhiwandi</t>
        </is>
      </c>
      <c r="G20" s="1" t="n">
        <v>10000000</v>
      </c>
      <c r="H20" s="1" t="n">
        <v>35000</v>
      </c>
      <c r="I20" s="1" t="n"/>
      <c r="J20" s="1" t="inlineStr">
        <is>
          <t>Bhiwandi</t>
        </is>
      </c>
      <c r="K20" s="1" t="n">
        <v>80</v>
      </c>
      <c r="L20" s="1" t="n">
        <v>15</v>
      </c>
      <c r="M20" s="1" t="n">
        <v>65</v>
      </c>
      <c r="N20" s="1" t="n">
        <v>75</v>
      </c>
      <c r="O20" s="1" t="n">
        <v>50</v>
      </c>
      <c r="P20" s="1" t="n">
        <v>100</v>
      </c>
      <c r="Q20" s="1" t="n"/>
      <c r="R20" s="1" t="n"/>
      <c r="S20" s="1" t="n"/>
      <c r="T20" s="1" t="n"/>
      <c r="U20" s="1" t="n"/>
      <c r="V20" s="1" t="n"/>
      <c r="W20" s="1" t="n"/>
      <c r="X20" s="1" t="n"/>
      <c r="Y20" s="1" t="n"/>
      <c r="Z20" s="1" t="n"/>
    </row>
    <row r="21" ht="14.25" customHeight="1" s="26">
      <c r="A21" s="2" t="inlineStr">
        <is>
          <t xml:space="preserve">DC </t>
        </is>
      </c>
      <c r="B21" s="2" t="inlineStr">
        <is>
          <t>Opening Status</t>
        </is>
      </c>
      <c r="C21" s="2" t="inlineStr">
        <is>
          <t>RHS of DC Capacity Constraint</t>
        </is>
      </c>
      <c r="D21" s="1" t="n"/>
      <c r="E21" s="1" t="n">
        <v>3</v>
      </c>
      <c r="F21" s="1" t="inlineStr">
        <is>
          <t>Greater Noida</t>
        </is>
      </c>
      <c r="G21" s="1" t="n">
        <v>9500000</v>
      </c>
      <c r="H21" s="1" t="n">
        <v>25000</v>
      </c>
      <c r="I21" s="1" t="n"/>
      <c r="J21" s="1" t="inlineStr">
        <is>
          <t>Greater Noida</t>
        </is>
      </c>
      <c r="K21" s="1" t="n">
        <v>15</v>
      </c>
      <c r="L21" s="1" t="n">
        <v>85</v>
      </c>
      <c r="M21" s="1" t="n">
        <v>110</v>
      </c>
      <c r="N21" s="1" t="n">
        <v>120</v>
      </c>
      <c r="O21" s="1" t="n">
        <v>85</v>
      </c>
      <c r="P21" s="1" t="n">
        <v>75</v>
      </c>
      <c r="Q21" s="1" t="n"/>
      <c r="R21" s="1" t="n"/>
      <c r="S21" s="1" t="n"/>
      <c r="T21" s="1" t="n"/>
      <c r="U21" s="1" t="n"/>
      <c r="V21" s="1" t="n"/>
      <c r="W21" s="1" t="n"/>
      <c r="X21" s="1" t="n"/>
      <c r="Y21" s="1" t="n"/>
      <c r="Z21" s="1" t="n"/>
    </row>
    <row r="22" ht="14.25" customHeight="1" s="26">
      <c r="A22" s="1" t="n">
        <v>1</v>
      </c>
      <c r="B22" s="1" t="n">
        <v>1</v>
      </c>
      <c r="C22" s="1">
        <f>B22*H19</f>
        <v/>
      </c>
      <c r="D22" s="1" t="n"/>
      <c r="E22" s="1" t="n">
        <v>4</v>
      </c>
      <c r="F22" s="1" t="inlineStr">
        <is>
          <t>Hosur</t>
        </is>
      </c>
      <c r="G22" s="1" t="n">
        <v>8500000</v>
      </c>
      <c r="H22" s="1" t="n">
        <v>25000</v>
      </c>
      <c r="I22" s="1" t="n"/>
      <c r="J22" s="1" t="inlineStr">
        <is>
          <t>Hosur</t>
        </is>
      </c>
      <c r="K22" s="1" t="n">
        <v>115</v>
      </c>
      <c r="L22" s="1" t="n">
        <v>70</v>
      </c>
      <c r="M22" s="1" t="n">
        <v>20</v>
      </c>
      <c r="N22" s="1" t="n">
        <v>25</v>
      </c>
      <c r="O22" s="1" t="n">
        <v>45</v>
      </c>
      <c r="P22" s="1" t="n">
        <v>95</v>
      </c>
      <c r="Q22" s="1" t="n"/>
      <c r="R22" s="1" t="n"/>
      <c r="S22" s="1" t="n"/>
      <c r="T22" s="1" t="n"/>
      <c r="U22" s="1" t="n"/>
      <c r="V22" s="1" t="n"/>
      <c r="W22" s="1" t="n"/>
      <c r="X22" s="1" t="n"/>
      <c r="Y22" s="1" t="n"/>
      <c r="Z22" s="1" t="n"/>
    </row>
    <row r="23" ht="14.25" customHeight="1" s="26">
      <c r="A23" s="1" t="n">
        <v>2</v>
      </c>
      <c r="B23" s="1" t="n">
        <v>0</v>
      </c>
      <c r="C23" s="1">
        <f>B23*H20</f>
        <v/>
      </c>
      <c r="D23" s="1" t="n"/>
      <c r="E23" s="1" t="n">
        <v>5</v>
      </c>
      <c r="F23" s="1" t="inlineStr">
        <is>
          <t>Dankuni</t>
        </is>
      </c>
      <c r="G23" s="1" t="n">
        <v>7500000</v>
      </c>
      <c r="H23" s="1" t="n">
        <v>20000</v>
      </c>
      <c r="I23" s="1" t="n"/>
      <c r="J23" s="1" t="inlineStr">
        <is>
          <t>Dankuni</t>
        </is>
      </c>
      <c r="K23" s="1" t="n">
        <v>80</v>
      </c>
      <c r="L23" s="1" t="n">
        <v>105</v>
      </c>
      <c r="M23" s="1" t="n">
        <v>100</v>
      </c>
      <c r="N23" s="1" t="n">
        <v>95</v>
      </c>
      <c r="O23" s="1" t="n">
        <v>75</v>
      </c>
      <c r="P23" s="1" t="n">
        <v>15</v>
      </c>
      <c r="Q23" s="1" t="n"/>
      <c r="R23" s="1" t="n"/>
      <c r="S23" s="1" t="n"/>
      <c r="T23" s="1" t="n"/>
      <c r="U23" s="1" t="n"/>
      <c r="V23" s="1" t="n"/>
      <c r="W23" s="1" t="n"/>
      <c r="X23" s="1" t="n"/>
      <c r="Y23" s="1" t="n"/>
      <c r="Z23" s="1" t="n"/>
    </row>
    <row r="24" ht="14.25" customHeight="1" s="26">
      <c r="A24" s="1" t="n">
        <v>3</v>
      </c>
      <c r="B24" s="1" t="n">
        <v>0</v>
      </c>
      <c r="C24" s="1">
        <f>B24*H21</f>
        <v/>
      </c>
      <c r="D24" s="1" t="n"/>
      <c r="E24" s="1" t="n"/>
      <c r="F24" s="1" t="n"/>
      <c r="G24" s="2" t="inlineStr">
        <is>
          <t>Total Handling Capacity</t>
        </is>
      </c>
      <c r="H24" s="1">
        <f>SUM(H19:H23)</f>
        <v/>
      </c>
      <c r="I24" s="1" t="n"/>
      <c r="J24" s="1" t="n"/>
      <c r="K24" s="1" t="n"/>
      <c r="L24" s="1" t="n"/>
      <c r="M24" s="1" t="n"/>
      <c r="N24" s="1" t="n"/>
      <c r="O24" s="1" t="n"/>
      <c r="P24" s="1" t="n"/>
      <c r="Q24" s="1" t="n"/>
      <c r="R24" s="1" t="n"/>
      <c r="S24" s="1" t="n"/>
      <c r="T24" s="1" t="n"/>
      <c r="U24" s="1" t="n"/>
      <c r="V24" s="1" t="n"/>
      <c r="W24" s="1" t="n"/>
      <c r="X24" s="1" t="n"/>
      <c r="Y24" s="1" t="n"/>
      <c r="Z24" s="1" t="n"/>
    </row>
    <row r="25" ht="14.25" customHeight="1" s="26">
      <c r="A25" s="1" t="n">
        <v>4</v>
      </c>
      <c r="B25" s="1" t="n">
        <v>1</v>
      </c>
      <c r="C25" s="1">
        <f>B25*H22</f>
        <v/>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26">
      <c r="A26" s="1" t="n">
        <v>5</v>
      </c>
      <c r="B26" s="1" t="n">
        <v>1</v>
      </c>
      <c r="C26" s="1">
        <f>B26*H23</f>
        <v/>
      </c>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26">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26">
      <c r="A28" s="24" t="inlineStr">
        <is>
          <t>Continuous flow quantity variables</t>
        </is>
      </c>
      <c r="E28" s="1" t="n"/>
      <c r="F28" s="1" t="n"/>
      <c r="G28" s="1" t="n"/>
      <c r="H28" s="1" t="n"/>
      <c r="I28" s="27" t="inlineStr">
        <is>
          <t>Objective Function</t>
        </is>
      </c>
      <c r="K28" s="1" t="n"/>
      <c r="L28" s="1" t="n"/>
      <c r="M28" s="1" t="n"/>
      <c r="N28" s="1" t="n"/>
      <c r="O28" s="1" t="n"/>
      <c r="P28" s="1" t="n"/>
      <c r="Q28" s="1" t="n"/>
      <c r="R28" s="1" t="n"/>
      <c r="S28" s="1" t="n"/>
      <c r="T28" s="1" t="n"/>
      <c r="U28" s="1" t="n"/>
      <c r="V28" s="1" t="n"/>
      <c r="W28" s="1" t="n"/>
      <c r="X28" s="1" t="n"/>
      <c r="Y28" s="1" t="n"/>
      <c r="Z28" s="1" t="n"/>
    </row>
    <row r="29" ht="14.25" customHeight="1" s="26">
      <c r="A29" s="2" t="inlineStr">
        <is>
          <t>Supplier/Plant</t>
        </is>
      </c>
      <c r="B29" s="1" t="inlineStr">
        <is>
          <t>Sanand</t>
        </is>
      </c>
      <c r="C29" s="1" t="inlineStr">
        <is>
          <t>Sriperumbudur</t>
        </is>
      </c>
      <c r="D29" s="1" t="inlineStr">
        <is>
          <t>Pune</t>
        </is>
      </c>
      <c r="E29" s="2" t="inlineStr">
        <is>
          <t>Total outflow from each supplier</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26">
      <c r="A30" s="1" t="inlineStr">
        <is>
          <t>Jamnagar</t>
        </is>
      </c>
      <c r="B30" s="1" t="n">
        <v>40000</v>
      </c>
      <c r="C30" s="1" t="n">
        <v>0</v>
      </c>
      <c r="D30" s="1" t="n">
        <v>0</v>
      </c>
      <c r="E30" s="1">
        <f>SUM(B30:D30)</f>
        <v/>
      </c>
      <c r="F30" s="1" t="n"/>
      <c r="G30" s="1" t="n"/>
      <c r="H30" s="1" t="n"/>
      <c r="I30" s="1" t="inlineStr">
        <is>
          <t>Supplier to plant freight cost</t>
        </is>
      </c>
      <c r="J30" s="1">
        <f>SUMPRODUCT(K5:M7, B30:D32)</f>
        <v/>
      </c>
      <c r="K30" s="1" t="n"/>
      <c r="L30" s="1" t="n"/>
      <c r="M30" s="1" t="n"/>
      <c r="N30" s="1" t="n"/>
      <c r="O30" s="1" t="n"/>
      <c r="P30" s="1" t="n"/>
      <c r="Q30" s="1" t="n"/>
      <c r="R30" s="1" t="n"/>
      <c r="S30" s="1" t="n"/>
      <c r="T30" s="1" t="n"/>
      <c r="U30" s="1" t="n"/>
      <c r="V30" s="1" t="n"/>
      <c r="W30" s="1" t="n"/>
      <c r="X30" s="1" t="n"/>
      <c r="Y30" s="1" t="n"/>
      <c r="Z30" s="1" t="n"/>
    </row>
    <row r="31" ht="14.25" customHeight="1" s="26">
      <c r="A31" s="1" t="inlineStr">
        <is>
          <t>Bhilai</t>
        </is>
      </c>
      <c r="B31" s="1" t="n">
        <v>0</v>
      </c>
      <c r="C31" s="1" t="n">
        <v>0</v>
      </c>
      <c r="D31" s="1" t="n">
        <v>0</v>
      </c>
      <c r="E31" s="1">
        <f>SUM(B31:D31)</f>
        <v/>
      </c>
      <c r="F31" s="1" t="n"/>
      <c r="G31" s="1" t="n"/>
      <c r="H31" s="1" t="n"/>
      <c r="I31" s="1" t="inlineStr">
        <is>
          <t>Plant to DC freight cost</t>
        </is>
      </c>
      <c r="J31" s="1">
        <f>SUMPRODUCT(K12:O14, B36:F38)</f>
        <v/>
      </c>
      <c r="K31" s="1" t="n"/>
      <c r="L31" s="1" t="n"/>
      <c r="M31" s="1" t="n"/>
      <c r="N31" s="1" t="n"/>
      <c r="O31" s="1" t="n"/>
      <c r="P31" s="1" t="n"/>
      <c r="Q31" s="1" t="n"/>
      <c r="R31" s="1" t="n"/>
      <c r="S31" s="1" t="n"/>
      <c r="T31" s="1" t="n"/>
      <c r="U31" s="1" t="n"/>
      <c r="V31" s="1" t="n"/>
      <c r="W31" s="1" t="n"/>
      <c r="X31" s="1" t="n"/>
      <c r="Y31" s="1" t="n"/>
      <c r="Z31" s="1" t="n"/>
    </row>
    <row r="32" ht="14.25" customHeight="1" s="26">
      <c r="A32" s="1" t="inlineStr">
        <is>
          <t>Bellary</t>
        </is>
      </c>
      <c r="B32" s="1" t="n">
        <v>0</v>
      </c>
      <c r="C32" s="1" t="n">
        <v>32000</v>
      </c>
      <c r="D32" s="1" t="n">
        <v>0</v>
      </c>
      <c r="E32" s="1">
        <f>SUM(B32:D32)</f>
        <v/>
      </c>
      <c r="F32" s="1" t="n"/>
      <c r="G32" s="1" t="n"/>
      <c r="H32" s="1" t="n"/>
      <c r="I32" s="1" t="inlineStr">
        <is>
          <t>DC to CZ freight cost</t>
        </is>
      </c>
      <c r="J32" s="1">
        <f>SUMPRODUCT(K19:P23, B42:G46)</f>
        <v/>
      </c>
      <c r="K32" s="1" t="n"/>
      <c r="L32" s="1" t="n"/>
      <c r="M32" s="1" t="n"/>
      <c r="N32" s="1" t="n"/>
      <c r="O32" s="1" t="n"/>
      <c r="P32" s="1" t="n"/>
      <c r="Q32" s="1" t="n"/>
      <c r="R32" s="1" t="n"/>
      <c r="S32" s="1" t="n"/>
      <c r="T32" s="1" t="n"/>
      <c r="U32" s="1" t="n"/>
      <c r="V32" s="1" t="n"/>
      <c r="W32" s="1" t="n"/>
      <c r="X32" s="1" t="n"/>
      <c r="Y32" s="1" t="n"/>
      <c r="Z32" s="1" t="n"/>
    </row>
    <row r="33" ht="14.25" customHeight="1" s="26">
      <c r="A33" s="16" t="inlineStr">
        <is>
          <t>Total inflow
to each
MP</t>
        </is>
      </c>
      <c r="B33" s="1">
        <f>SUM(B30:B32)</f>
        <v/>
      </c>
      <c r="C33" s="1">
        <f>SUM(C30:C32)</f>
        <v/>
      </c>
      <c r="D33" s="1">
        <f>SUM(D30:D32)</f>
        <v/>
      </c>
      <c r="E33" s="1" t="n"/>
      <c r="F33" s="1" t="n"/>
      <c r="G33" s="1" t="n"/>
      <c r="H33" s="1" t="n"/>
      <c r="I33" s="1" t="inlineStr">
        <is>
          <t>MP opening cost</t>
        </is>
      </c>
      <c r="J33" s="1">
        <f>SUMPRODUCT(G12:G14, B17:B19)</f>
        <v/>
      </c>
      <c r="K33" s="1" t="n"/>
      <c r="L33" s="1" t="n"/>
      <c r="M33" s="1" t="n"/>
      <c r="N33" s="1" t="n"/>
      <c r="O33" s="1" t="n"/>
      <c r="P33" s="1" t="n"/>
      <c r="Q33" s="1" t="n"/>
      <c r="R33" s="1" t="n"/>
      <c r="S33" s="1" t="n"/>
      <c r="T33" s="1" t="n"/>
      <c r="U33" s="1" t="n"/>
      <c r="V33" s="1" t="n"/>
      <c r="W33" s="1" t="n"/>
      <c r="X33" s="1" t="n"/>
      <c r="Y33" s="1" t="n"/>
      <c r="Z33" s="1" t="n"/>
    </row>
    <row r="34" ht="14.25" customHeight="1" s="26">
      <c r="A34" s="1" t="n"/>
      <c r="B34" s="1" t="n"/>
      <c r="C34" s="1" t="n"/>
      <c r="D34" s="1" t="n"/>
      <c r="E34" s="1" t="n"/>
      <c r="F34" s="1" t="n"/>
      <c r="G34" s="1" t="n"/>
      <c r="H34" s="1" t="n"/>
      <c r="I34" s="1" t="inlineStr">
        <is>
          <t>DC opening cost</t>
        </is>
      </c>
      <c r="J34" s="1">
        <f>SUMPRODUCT(G19:G23, B22:B26)</f>
        <v/>
      </c>
      <c r="K34" s="1" t="n"/>
      <c r="L34" s="1" t="n"/>
      <c r="M34" s="1" t="n"/>
      <c r="N34" s="1" t="n"/>
      <c r="O34" s="1" t="n"/>
      <c r="P34" s="1" t="n"/>
      <c r="Q34" s="1" t="n"/>
      <c r="R34" s="1" t="n"/>
      <c r="S34" s="1" t="n"/>
      <c r="T34" s="1" t="n"/>
      <c r="U34" s="1" t="n"/>
      <c r="V34" s="1" t="n"/>
      <c r="W34" s="1" t="n"/>
      <c r="X34" s="1" t="n"/>
      <c r="Y34" s="1" t="n"/>
      <c r="Z34" s="1" t="n"/>
    </row>
    <row r="35" ht="14.25" customHeight="1" s="26">
      <c r="A35" s="2" t="inlineStr">
        <is>
          <t>Plant/DC</t>
        </is>
      </c>
      <c r="B35" s="1" t="inlineStr">
        <is>
          <t>Nagpur</t>
        </is>
      </c>
      <c r="C35" s="1" t="inlineStr">
        <is>
          <t>Bhiwandi</t>
        </is>
      </c>
      <c r="D35" s="1" t="inlineStr">
        <is>
          <t>Greater Noida</t>
        </is>
      </c>
      <c r="E35" s="1" t="inlineStr">
        <is>
          <t>Hosur</t>
        </is>
      </c>
      <c r="F35" s="1" t="inlineStr">
        <is>
          <t>Dankuni</t>
        </is>
      </c>
      <c r="G35" s="2" t="inlineStr">
        <is>
          <t>Total outflow from each MP</t>
        </is>
      </c>
      <c r="H35" s="1" t="n"/>
      <c r="I35" s="24" t="inlineStr">
        <is>
          <t>Total Cost</t>
        </is>
      </c>
      <c r="J35" s="1">
        <f>SUM(J30:J34)</f>
        <v/>
      </c>
      <c r="K35" s="1" t="n"/>
      <c r="L35" s="1" t="n"/>
      <c r="M35" s="1" t="n"/>
      <c r="N35" s="1" t="n"/>
      <c r="O35" s="1" t="n"/>
      <c r="P35" s="1" t="n"/>
      <c r="Q35" s="1" t="n"/>
      <c r="R35" s="1" t="n"/>
      <c r="S35" s="1" t="n"/>
      <c r="T35" s="1" t="n"/>
      <c r="U35" s="1" t="n"/>
      <c r="V35" s="1" t="n"/>
      <c r="W35" s="1" t="n"/>
      <c r="X35" s="1" t="n"/>
      <c r="Y35" s="1" t="n"/>
      <c r="Z35" s="1" t="n"/>
    </row>
    <row r="36" ht="14.25" customHeight="1" s="26">
      <c r="A36" s="1" t="inlineStr">
        <is>
          <t>Sanand</t>
        </is>
      </c>
      <c r="B36" s="1" t="n">
        <v>30000</v>
      </c>
      <c r="C36" s="1" t="n">
        <v>0</v>
      </c>
      <c r="D36" s="1" t="n">
        <v>0</v>
      </c>
      <c r="E36" s="1" t="n">
        <v>0</v>
      </c>
      <c r="F36" s="1" t="n">
        <v>10000</v>
      </c>
      <c r="G36" s="1">
        <f>SUM(B36:F36)</f>
        <v/>
      </c>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26">
      <c r="A37" s="1" t="inlineStr">
        <is>
          <t>Sriperumbudur</t>
        </is>
      </c>
      <c r="B37" s="1" t="n">
        <v>0</v>
      </c>
      <c r="C37" s="1" t="n">
        <v>0</v>
      </c>
      <c r="D37" s="1" t="n">
        <v>0</v>
      </c>
      <c r="E37" s="1" t="n">
        <v>25000</v>
      </c>
      <c r="F37" s="1" t="n">
        <v>7000</v>
      </c>
      <c r="G37" s="1">
        <f>SUM(B37:F37)</f>
        <v/>
      </c>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26">
      <c r="A38" s="1" t="inlineStr">
        <is>
          <t>Pune</t>
        </is>
      </c>
      <c r="B38" s="1" t="n">
        <v>0</v>
      </c>
      <c r="C38" s="1" t="n">
        <v>0</v>
      </c>
      <c r="D38" s="1" t="n">
        <v>0</v>
      </c>
      <c r="E38" s="1" t="n">
        <v>0</v>
      </c>
      <c r="F38" s="1" t="n">
        <v>0</v>
      </c>
      <c r="G38" s="1">
        <f>SUM(B38:F38)</f>
        <v/>
      </c>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26">
      <c r="A39" s="16" t="inlineStr">
        <is>
          <t>Total inflow
to each
DC</t>
        </is>
      </c>
      <c r="B39" s="1">
        <f>SUM(B36:B38)</f>
        <v/>
      </c>
      <c r="C39" s="1">
        <f>SUM(C36:C38)</f>
        <v/>
      </c>
      <c r="D39" s="1">
        <f>SUM(D36:D38)</f>
        <v/>
      </c>
      <c r="E39" s="1">
        <f>SUM(E36:E38)</f>
        <v/>
      </c>
      <c r="F39" s="1">
        <f>SUM(F36:F38)</f>
        <v/>
      </c>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2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26">
      <c r="A41" s="2" t="inlineStr">
        <is>
          <t>DC/CZ</t>
        </is>
      </c>
      <c r="B41" s="1" t="inlineStr">
        <is>
          <t>Delhi</t>
        </is>
      </c>
      <c r="C41" s="1" t="inlineStr">
        <is>
          <t>Mumbai</t>
        </is>
      </c>
      <c r="D41" s="1" t="inlineStr">
        <is>
          <t>Bengaluru</t>
        </is>
      </c>
      <c r="E41" s="1" t="inlineStr">
        <is>
          <t>Chennai</t>
        </is>
      </c>
      <c r="F41" s="1" t="inlineStr">
        <is>
          <t>Hyderabad</t>
        </is>
      </c>
      <c r="G41" s="1" t="inlineStr">
        <is>
          <t>Kolkata</t>
        </is>
      </c>
      <c r="H41" s="2" t="inlineStr">
        <is>
          <t>Total outflow from each DC</t>
        </is>
      </c>
      <c r="I41" s="1" t="n"/>
      <c r="J41" s="1" t="n"/>
      <c r="K41" s="1" t="n"/>
      <c r="L41" s="1" t="n"/>
      <c r="M41" s="1" t="n"/>
      <c r="N41" s="1" t="n"/>
      <c r="O41" s="1" t="n"/>
      <c r="P41" s="1" t="n"/>
      <c r="Q41" s="1" t="n"/>
      <c r="R41" s="1" t="n"/>
      <c r="S41" s="1" t="n"/>
      <c r="T41" s="1" t="n"/>
      <c r="U41" s="1" t="n"/>
      <c r="V41" s="1" t="n"/>
      <c r="W41" s="1" t="n"/>
      <c r="X41" s="1" t="n"/>
      <c r="Y41" s="1" t="n"/>
      <c r="Z41" s="1" t="n"/>
    </row>
    <row r="42" ht="14.25" customHeight="1" s="26">
      <c r="A42" s="1" t="inlineStr">
        <is>
          <t>Nagpur</t>
        </is>
      </c>
      <c r="B42" s="1" t="n">
        <v>6000</v>
      </c>
      <c r="C42" s="1" t="n">
        <v>18000</v>
      </c>
      <c r="D42" s="1" t="n">
        <v>0</v>
      </c>
      <c r="E42" s="1" t="n">
        <v>0</v>
      </c>
      <c r="F42" s="1" t="n">
        <v>6000</v>
      </c>
      <c r="G42" s="1" t="n">
        <v>0</v>
      </c>
      <c r="H42" s="1">
        <f>SUM(B42:G42)</f>
        <v/>
      </c>
      <c r="I42" s="1" t="n"/>
      <c r="J42" s="1" t="n"/>
      <c r="K42" s="1" t="n"/>
      <c r="L42" s="1" t="n"/>
      <c r="M42" s="1" t="n"/>
      <c r="N42" s="1" t="n"/>
      <c r="O42" s="1" t="n"/>
      <c r="P42" s="1" t="n"/>
      <c r="Q42" s="1" t="n"/>
      <c r="R42" s="1" t="n"/>
      <c r="S42" s="1" t="n"/>
      <c r="T42" s="1" t="n"/>
      <c r="U42" s="1" t="n"/>
      <c r="V42" s="1" t="n"/>
      <c r="W42" s="1" t="n"/>
      <c r="X42" s="1" t="n"/>
      <c r="Y42" s="1" t="n"/>
      <c r="Z42" s="1" t="n"/>
    </row>
    <row r="43" ht="14.25" customHeight="1" s="26">
      <c r="A43" s="1" t="inlineStr">
        <is>
          <t>Bhiwandi</t>
        </is>
      </c>
      <c r="B43" s="1" t="n">
        <v>0</v>
      </c>
      <c r="C43" s="1" t="n">
        <v>0</v>
      </c>
      <c r="D43" s="1" t="n">
        <v>0</v>
      </c>
      <c r="E43" s="1" t="n">
        <v>0</v>
      </c>
      <c r="F43" s="1" t="n">
        <v>0</v>
      </c>
      <c r="G43" s="1" t="n">
        <v>0</v>
      </c>
      <c r="H43" s="1">
        <f>SUM(B43:G43)</f>
        <v/>
      </c>
      <c r="I43" s="1" t="n"/>
      <c r="J43" s="1" t="n"/>
      <c r="K43" s="1" t="n"/>
      <c r="L43" s="1" t="n"/>
      <c r="M43" s="1" t="n"/>
      <c r="N43" s="1" t="n"/>
      <c r="O43" s="1" t="n"/>
      <c r="P43" s="1" t="n"/>
      <c r="Q43" s="1" t="n"/>
      <c r="R43" s="1" t="n"/>
      <c r="S43" s="1" t="n"/>
      <c r="T43" s="1" t="n"/>
      <c r="U43" s="1" t="n"/>
      <c r="V43" s="1" t="n"/>
      <c r="W43" s="1" t="n"/>
      <c r="X43" s="1" t="n"/>
      <c r="Y43" s="1" t="n"/>
      <c r="Z43" s="1" t="n"/>
    </row>
    <row r="44" ht="14.25" customHeight="1" s="26">
      <c r="A44" s="1" t="inlineStr">
        <is>
          <t>Greater Noida</t>
        </is>
      </c>
      <c r="B44" s="1" t="n">
        <v>0</v>
      </c>
      <c r="C44" s="1" t="n">
        <v>0</v>
      </c>
      <c r="D44" s="1" t="n">
        <v>0</v>
      </c>
      <c r="E44" s="1" t="n">
        <v>0</v>
      </c>
      <c r="F44" s="1" t="n">
        <v>0</v>
      </c>
      <c r="G44" s="1" t="n">
        <v>0</v>
      </c>
      <c r="H44" s="1">
        <f>SUM(B44:G44)</f>
        <v/>
      </c>
      <c r="I44" s="1" t="n"/>
      <c r="J44" s="1" t="n"/>
      <c r="K44" s="1" t="n"/>
      <c r="L44" s="1" t="n"/>
      <c r="M44" s="1" t="n"/>
      <c r="N44" s="1" t="n"/>
      <c r="O44" s="1" t="n"/>
      <c r="P44" s="1" t="n"/>
      <c r="Q44" s="1" t="n"/>
      <c r="R44" s="1" t="n"/>
      <c r="S44" s="1" t="n"/>
      <c r="T44" s="1" t="n"/>
      <c r="U44" s="1" t="n"/>
      <c r="V44" s="1" t="n"/>
      <c r="W44" s="1" t="n"/>
      <c r="X44" s="1" t="n"/>
      <c r="Y44" s="1" t="n"/>
      <c r="Z44" s="1" t="n"/>
    </row>
    <row r="45" ht="14.25" customHeight="1" s="26">
      <c r="A45" s="1" t="inlineStr">
        <is>
          <t>Hosur</t>
        </is>
      </c>
      <c r="B45" s="1" t="n">
        <v>0</v>
      </c>
      <c r="C45" s="1" t="n">
        <v>0</v>
      </c>
      <c r="D45" s="1" t="n">
        <v>12000</v>
      </c>
      <c r="E45" s="1" t="n">
        <v>10000</v>
      </c>
      <c r="F45" s="1" t="n">
        <v>3000</v>
      </c>
      <c r="G45" s="1" t="n">
        <v>0</v>
      </c>
      <c r="H45" s="1">
        <f>SUM(B45:G45)</f>
        <v/>
      </c>
      <c r="I45" s="1" t="n"/>
      <c r="J45" s="1" t="n"/>
      <c r="K45" s="1" t="n"/>
      <c r="L45" s="1" t="n"/>
      <c r="M45" s="1" t="n"/>
      <c r="N45" s="1" t="n"/>
      <c r="O45" s="1" t="n"/>
      <c r="P45" s="1" t="n"/>
      <c r="Q45" s="1" t="n"/>
      <c r="R45" s="1" t="n"/>
      <c r="S45" s="1" t="n"/>
      <c r="T45" s="1" t="n"/>
      <c r="U45" s="1" t="n"/>
      <c r="V45" s="1" t="n"/>
      <c r="W45" s="1" t="n"/>
      <c r="X45" s="1" t="n"/>
      <c r="Y45" s="1" t="n"/>
      <c r="Z45" s="1" t="n"/>
    </row>
    <row r="46" ht="14.25" customHeight="1" s="26">
      <c r="A46" s="1" t="inlineStr">
        <is>
          <t>Dankuni</t>
        </is>
      </c>
      <c r="B46" s="1" t="n">
        <v>9000</v>
      </c>
      <c r="C46" s="1" t="n">
        <v>0</v>
      </c>
      <c r="D46" s="1" t="n">
        <v>0</v>
      </c>
      <c r="E46" s="1" t="n">
        <v>0</v>
      </c>
      <c r="F46" s="1" t="n">
        <v>0</v>
      </c>
      <c r="G46" s="1" t="n">
        <v>8000</v>
      </c>
      <c r="H46" s="1">
        <f>SUM(B46:G46)</f>
        <v/>
      </c>
      <c r="I46" s="1" t="n"/>
      <c r="J46" s="1" t="n"/>
      <c r="K46" s="1" t="n"/>
      <c r="L46" s="1" t="n"/>
      <c r="M46" s="1" t="n"/>
      <c r="N46" s="1" t="n"/>
      <c r="O46" s="1" t="n"/>
      <c r="P46" s="1" t="n"/>
      <c r="Q46" s="1" t="n"/>
      <c r="R46" s="1" t="n"/>
      <c r="S46" s="1" t="n"/>
      <c r="T46" s="1" t="n"/>
      <c r="U46" s="1" t="n"/>
      <c r="V46" s="1" t="n"/>
      <c r="W46" s="1" t="n"/>
      <c r="X46" s="1" t="n"/>
      <c r="Y46" s="1" t="n"/>
      <c r="Z46" s="1" t="n"/>
    </row>
    <row r="47" ht="14.25" customHeight="1" s="26">
      <c r="A47" s="16" t="inlineStr">
        <is>
          <t>Total
received at 
each CZ</t>
        </is>
      </c>
      <c r="B47" s="1">
        <f>SUM(B42:B46)</f>
        <v/>
      </c>
      <c r="C47" s="1">
        <f>SUM(C42:C46)</f>
        <v/>
      </c>
      <c r="D47" s="1">
        <f>SUM(D42:D46)</f>
        <v/>
      </c>
      <c r="E47" s="1">
        <f>SUM(E42:E46)</f>
        <v/>
      </c>
      <c r="F47" s="1">
        <f>SUM(F42:F46)</f>
        <v/>
      </c>
      <c r="G47" s="1">
        <f>SUM(G42:G46)</f>
        <v/>
      </c>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2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26">
      <c r="A49" s="1" t="n"/>
      <c r="B49" s="1" t="n"/>
      <c r="C49" s="2" t="inlineStr">
        <is>
          <t>Total DC-to-CZ flow</t>
        </is>
      </c>
      <c r="D49" s="1">
        <f>SUM(H42:H46)</f>
        <v/>
      </c>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26">
      <c r="A50" s="1" t="n"/>
      <c r="B50" s="1" t="n"/>
      <c r="C50" s="2" t="inlineStr">
        <is>
          <t>Total MP-to-DC flow</t>
        </is>
      </c>
      <c r="D50" s="1">
        <f>SUM(G36:G38)</f>
        <v/>
      </c>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26">
      <c r="A51" s="1" t="n"/>
      <c r="B51" s="1" t="n"/>
      <c r="C51" s="2" t="inlineStr">
        <is>
          <t>Total Supplier-to-MP flow</t>
        </is>
      </c>
      <c r="D51" s="1">
        <f>SUM(E30:E32)</f>
        <v/>
      </c>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2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26">
      <c r="A53" s="1" t="n"/>
      <c r="B53" s="1" t="n"/>
      <c r="C53" s="1" t="n"/>
      <c r="D53" s="1" t="n"/>
      <c r="E53" s="25" t="inlineStr">
        <is>
          <t>Constraints
a) Demand satisfaction constraint: Demand at each customer zone should be met by the total
outflow from all DCs.
b) Capacity constraint: The outflow from each facility should not exceed its capacity. This is
applicable separately to suppliers, plants, and DCs.
c) Variables indicating facility opening decisions should be binary.
d) Variables indicating flow-quantity decisions should be non-negative.
e) Flow balance constraint (assuming no wastage occurs in product flow from one echelon to 
another):
* The total outflow from all MPs should be equal to the total outflow from all DCs.
* The total outflow from all MPs should be equal to the total outflow from all suppliers (a conversion factor might be applicable in this case).</t>
        </is>
      </c>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26">
      <c r="A54" s="1" t="n"/>
      <c r="B54" s="1" t="n"/>
      <c r="C54" s="1" t="n"/>
      <c r="D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26">
      <c r="A55" s="1" t="n"/>
      <c r="B55" s="1" t="n"/>
      <c r="C55" s="1" t="n"/>
      <c r="D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26">
      <c r="A56" s="1" t="n"/>
      <c r="B56" s="1" t="n"/>
      <c r="C56" s="1" t="n"/>
      <c r="D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26">
      <c r="A57" s="1" t="n"/>
      <c r="B57" s="1" t="n"/>
      <c r="C57" s="1" t="n"/>
      <c r="D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26">
      <c r="A58" s="1" t="n"/>
      <c r="B58" s="1" t="n"/>
      <c r="C58" s="1" t="n"/>
      <c r="D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26">
      <c r="A59" s="1" t="n"/>
      <c r="B59" s="1" t="n"/>
      <c r="C59" s="1" t="n"/>
      <c r="D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26">
      <c r="A60" s="1" t="n"/>
      <c r="B60" s="1" t="n"/>
      <c r="C60" s="1" t="n"/>
      <c r="D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26">
      <c r="A61" s="1" t="n"/>
      <c r="B61" s="1" t="n"/>
      <c r="C61" s="1" t="n"/>
      <c r="D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26">
      <c r="A62" s="1" t="n"/>
      <c r="B62" s="1" t="n"/>
      <c r="C62" s="1" t="n"/>
      <c r="D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26">
      <c r="A63" s="1" t="n"/>
      <c r="B63" s="1" t="n"/>
      <c r="C63" s="1" t="n"/>
      <c r="D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26">
      <c r="A64" s="1" t="n"/>
      <c r="B64" s="1" t="n"/>
      <c r="C64" s="1" t="n"/>
      <c r="D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2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2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2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2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2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2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2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2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2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2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2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2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2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2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2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2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2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2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2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2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2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2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2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2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2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2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2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2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2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2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2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2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2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2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2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2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2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2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2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2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2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2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2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2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2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2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2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2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2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2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2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2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2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2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2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2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2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2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2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2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2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2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2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2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2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2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2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2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2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2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2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2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2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2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2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2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2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2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2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2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2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2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2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2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2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2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2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2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2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2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2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2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2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2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2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2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2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2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2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2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2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2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2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2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2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2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2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2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2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2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2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2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2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2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2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2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2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2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2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2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2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2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2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2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2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2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2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2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2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2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2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2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2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2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2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2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2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2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2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2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2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2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2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2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2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2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2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2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2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2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2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2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2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2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2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2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2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2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2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2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2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2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2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2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2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2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2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2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2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2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26">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26">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26">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26">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26">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26">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26">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26">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26">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2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26">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26">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26">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26">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26">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26">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26">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26">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26">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2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26">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26">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26">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26">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26">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26">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26">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26">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26">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2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26">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26">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26">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26">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26">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26">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26">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26">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26">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2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26">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26">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26">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26">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26">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26">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26">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26">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26">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2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26">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26">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26">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26">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26">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26">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26">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26">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26">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2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26">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26">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26">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26">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26">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26">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26">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26">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26">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2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26">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26">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26">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26">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26">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26">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26">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26">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26">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2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26">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26">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26">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26">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26">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26">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26">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26">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26">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26">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26">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26">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26">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26">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26">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26">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26">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26">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2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26">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26">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26">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26">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26">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26">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26">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26">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26">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2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26">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26">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26">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26">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26">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26">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26">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26">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26">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2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26">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26">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26">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26">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26">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26">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26">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26">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26">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2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26">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26">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26">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26">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26">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26">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26">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26">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26">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2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26">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26">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26">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26">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26">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26">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26">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26">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26">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2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26">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26">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26">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26">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26">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26">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26">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26">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26">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2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26">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26">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26">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26">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26">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26">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26">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26">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26">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2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26">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26">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26">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26">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26">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26">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26">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26">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26">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2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26">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26">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26">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26">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26">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26">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26">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26">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26">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26">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26">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26">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26">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26">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26">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26">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26">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26">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2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26">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26">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26">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26">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26">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26">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26">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26">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26">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2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26">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26">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26">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26">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26">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26">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26">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26">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26">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2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26">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26">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26">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26">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26">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26">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26">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26">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26">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2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26">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26">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26">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26">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26">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26">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26">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26">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26">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2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26">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26">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26">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26">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26">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26">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26">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26">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26">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2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26">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26">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26">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26">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26">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26">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26">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26">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26">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2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26">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26">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26">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26">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26">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26">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26">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26">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26">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2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26">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26">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26">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26">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26">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26">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26">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26">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26">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2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26">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26">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26">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26">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26">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26">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26">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26">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26">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26">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26">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26">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26">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26">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26">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26">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26">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26">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2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26">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26">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26">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26">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26">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26">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26">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26">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26">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2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26">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26">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26">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26">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26">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26">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26">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26">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26">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2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26">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26">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26">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26">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26">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26">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26">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26">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26">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2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26">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26">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26">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26">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26">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26">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26">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26">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26">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2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26">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26">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26">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26">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26">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26">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26">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26">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26">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2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26">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26">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26">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26">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26">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26">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26">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26">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26">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2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26">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26">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26">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26">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26">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26">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26">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26">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26">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2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26">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26">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26">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26">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26">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26">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26">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26">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26">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2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26">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26">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26">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26">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26">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26">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26">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26">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26">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26">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26">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26">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26">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26">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26">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26">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26">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26">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2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26">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26">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26">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26">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26">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26">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26">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26">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26">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2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26">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26">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26">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26">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26">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26">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26">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26">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26">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2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26">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26">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26">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26">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26">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26">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26">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26">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26">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2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26">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26">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26">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26">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26">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26">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26">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26">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26">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2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26">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26">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26">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26">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26">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26">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26">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26">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26">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2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26">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26">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26">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26">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26">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26">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26">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26">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26">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2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26">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26">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26">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26">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26">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26">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26">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26">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26">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2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26">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26">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26">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26">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26">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26">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26">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26">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26">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2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26">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26">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26">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26">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26">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26">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26">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26">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26">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26">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26">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26">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26">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26">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26">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26">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26">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26">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2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26">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26">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26">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26">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26">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26">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26">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26">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26">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2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26">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26">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26">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26">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26">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26">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26">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26">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26">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2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26">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26">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26">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26">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26">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26">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26">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26">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26">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2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26">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26">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26">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26">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26">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26">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26">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26">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26">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2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26">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26">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26">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26">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26">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26">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26">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26">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26">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2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26">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26">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26">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26">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26">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26">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26">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26">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26">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2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26">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26">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26">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26">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26">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26">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26">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26">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26">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2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26">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26">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26">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26">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26">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26">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26">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26">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26">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2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26">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26">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26">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26">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26">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26">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26">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26">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26">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26">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26">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26">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26">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26">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26">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26">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26">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26">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2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26">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26">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26">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26">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26">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26">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26">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26">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26">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2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26">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26">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26">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26">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26">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26">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26">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26">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26">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2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26">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26">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26">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26">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26">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26">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26">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26">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26">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2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26">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26">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26">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26">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26">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26">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26">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26">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26">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2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26">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26">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26">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26">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26">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26">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26">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26">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26">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2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26">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26">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26">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26">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26">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26">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26">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26">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26">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2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26">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26">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26">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26">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26">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26">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26">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26">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26">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2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26">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26">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26">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26">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26">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26">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26">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26">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26">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2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26">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26">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26">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26">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26">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26">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26">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26">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26">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26">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26">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26">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26">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26">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26">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26">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26">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26">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2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26">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26">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26">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26">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26">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26">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26">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26">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26">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2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26">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26">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26">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26">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26">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26">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26">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26">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26">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2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26">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26">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26">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26">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26">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26">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26">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26">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26">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2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26">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26">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26">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26">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26">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26">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26">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26">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26">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2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26">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26">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26">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26">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26">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26">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26">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26">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26">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2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26">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26">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26">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26">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26">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26">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26">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26">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26">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2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26">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26">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26">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26">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3">
    <mergeCell ref="A13:C13"/>
    <mergeCell ref="E17:H17"/>
    <mergeCell ref="A1:C1"/>
    <mergeCell ref="J10:O10"/>
    <mergeCell ref="J17:P17"/>
    <mergeCell ref="E53:G64"/>
    <mergeCell ref="J3:M3"/>
    <mergeCell ref="A3:C3"/>
    <mergeCell ref="E3:G3"/>
    <mergeCell ref="I28:J28"/>
    <mergeCell ref="A15:C15"/>
    <mergeCell ref="A28:D28"/>
    <mergeCell ref="E10:H10"/>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ColWidth="12.63" defaultRowHeight="15" customHeight="1"/>
  <cols>
    <col width="31.88" customWidth="1" style="26" min="1" max="1"/>
    <col width="9.630000000000001" customWidth="1" style="26" min="2" max="2"/>
    <col width="9.5" customWidth="1" style="26" min="3" max="3"/>
    <col width="9.130000000000001" customWidth="1" style="26" min="4" max="4"/>
    <col width="8.630000000000001" customWidth="1" style="26" min="5" max="5"/>
    <col width="10.13" customWidth="1" style="26" min="6" max="6"/>
    <col width="8.630000000000001" customWidth="1" style="26" min="7" max="26"/>
  </cols>
  <sheetData>
    <row r="1" ht="14.25" customHeight="1" s="26">
      <c r="C1" s="29" t="inlineStr">
        <is>
          <t>Candidate Sites</t>
        </is>
      </c>
    </row>
    <row r="2" ht="14.25" customHeight="1" s="26">
      <c r="A2" s="7" t="inlineStr">
        <is>
          <t>Factor</t>
        </is>
      </c>
      <c r="B2" s="2" t="inlineStr">
        <is>
          <t>Weight</t>
        </is>
      </c>
      <c r="C2" s="2" t="inlineStr">
        <is>
          <t>Pune</t>
        </is>
      </c>
      <c r="D2" s="2" t="inlineStr">
        <is>
          <t>Nagpur</t>
        </is>
      </c>
      <c r="E2" s="2" t="inlineStr">
        <is>
          <t>Indore</t>
        </is>
      </c>
      <c r="F2" s="2" t="inlineStr">
        <is>
          <t>Vadodara</t>
        </is>
      </c>
    </row>
    <row r="3" ht="14.25" customHeight="1" s="26">
      <c r="A3" s="8" t="inlineStr">
        <is>
          <t>Land &amp; Site Development Cost</t>
        </is>
      </c>
      <c r="B3" s="1" t="n">
        <v>0.25</v>
      </c>
      <c r="C3" s="1" t="n">
        <v>60</v>
      </c>
      <c r="D3" s="1" t="n">
        <v>85</v>
      </c>
      <c r="E3" s="1" t="n">
        <v>80</v>
      </c>
      <c r="F3" s="1" t="n">
        <v>75</v>
      </c>
    </row>
    <row r="4" ht="14.25" customHeight="1" s="26">
      <c r="A4" s="8" t="inlineStr">
        <is>
          <t>Highway &amp; Expressway Connectivity</t>
        </is>
      </c>
      <c r="B4" s="1" t="n">
        <v>0.2</v>
      </c>
      <c r="C4" s="1" t="n">
        <v>90</v>
      </c>
      <c r="D4" s="1" t="n">
        <v>80</v>
      </c>
      <c r="E4" s="1" t="n">
        <v>70</v>
      </c>
      <c r="F4" s="1" t="n">
        <v>85</v>
      </c>
    </row>
    <row r="5" ht="14.25" customHeight="1" s="26">
      <c r="A5" s="8" t="inlineStr">
        <is>
          <t>Power grid reliability</t>
        </is>
      </c>
      <c r="B5" s="1" t="n">
        <v>0.2</v>
      </c>
      <c r="C5" s="1" t="n">
        <v>85</v>
      </c>
      <c r="D5" s="1" t="n">
        <v>75</v>
      </c>
      <c r="E5" s="1" t="n">
        <v>70</v>
      </c>
      <c r="F5" s="1" t="n">
        <v>90</v>
      </c>
    </row>
    <row r="6" ht="14.25" customHeight="1" s="26">
      <c r="A6" s="8" t="inlineStr">
        <is>
          <t>Availability of skilled labor pool</t>
        </is>
      </c>
      <c r="B6" s="1" t="n">
        <v>0.15</v>
      </c>
      <c r="C6" s="1" t="n">
        <v>95</v>
      </c>
      <c r="D6" s="1" t="n">
        <v>65</v>
      </c>
      <c r="E6" s="1" t="n">
        <v>60</v>
      </c>
      <c r="F6" s="1" t="n">
        <v>70</v>
      </c>
    </row>
    <row r="7" ht="14.25" customHeight="1" s="26">
      <c r="A7" s="8" t="inlineStr">
        <is>
          <t>Local tax incentives &amp; subsidies</t>
        </is>
      </c>
      <c r="B7" s="1" t="n">
        <v>0.1</v>
      </c>
      <c r="C7" s="1" t="n">
        <v>65</v>
      </c>
      <c r="D7" s="1" t="n">
        <v>90</v>
      </c>
      <c r="E7" s="1" t="n">
        <v>85</v>
      </c>
      <c r="F7" s="1" t="n">
        <v>75</v>
      </c>
    </row>
    <row r="8" ht="14.25" customHeight="1" s="26">
      <c r="A8" s="8" t="inlineStr">
        <is>
          <t>Digital &amp; Telecom infrastructure</t>
        </is>
      </c>
      <c r="B8" s="1" t="n">
        <v>0.1</v>
      </c>
      <c r="C8" s="1" t="n">
        <v>90</v>
      </c>
      <c r="D8" s="1" t="n">
        <v>70</v>
      </c>
      <c r="E8" s="1" t="n">
        <v>75</v>
      </c>
      <c r="F8" s="1" t="n">
        <v>80</v>
      </c>
    </row>
    <row r="9" ht="14.25" customHeight="1" s="26">
      <c r="A9" s="7" t="inlineStr">
        <is>
          <t>Total factor score</t>
        </is>
      </c>
      <c r="B9" s="1">
        <f>SUM(B3:B8)</f>
        <v/>
      </c>
      <c r="C9" s="1">
        <f>SUMPRODUCT($B$3:$B$8, C3:C8)</f>
        <v/>
      </c>
      <c r="D9" s="1">
        <f>SUMPRODUCT($B$3:$B$8, D3:D8)</f>
        <v/>
      </c>
      <c r="E9" s="1">
        <f>SUMPRODUCT($B$3:$B$8, E3:E8)</f>
        <v/>
      </c>
      <c r="F9" s="1">
        <f>SUMPRODUCT($B$3:$B$8, F3:F8)</f>
        <v/>
      </c>
    </row>
    <row r="10" ht="14.25" customHeight="1" s="26"/>
    <row r="11" ht="14.25" customHeight="1" s="26"/>
    <row r="12" ht="14.25" customHeight="1" s="26"/>
    <row r="13" ht="14.25" customHeight="1" s="26"/>
    <row r="14" ht="14.25" customHeight="1" s="26"/>
    <row r="15" ht="14.25" customHeight="1" s="26"/>
    <row r="16" ht="14.25" customHeight="1" s="26"/>
    <row r="17" ht="14.25" customHeight="1" s="26"/>
    <row r="18" ht="14.25" customHeight="1" s="26"/>
    <row r="19" ht="14.25" customHeight="1" s="26"/>
    <row r="20" ht="14.25" customHeight="1" s="26"/>
    <row r="21" ht="14.25" customHeight="1" s="26"/>
    <row r="22" ht="14.25" customHeight="1" s="26"/>
    <row r="23" ht="14.25" customHeight="1" s="26"/>
    <row r="24" ht="14.25" customHeight="1" s="26"/>
    <row r="25" ht="14.25" customHeight="1" s="26"/>
    <row r="26" ht="14.25" customHeight="1" s="26"/>
    <row r="27" ht="14.25" customHeight="1" s="26"/>
    <row r="28" ht="14.25" customHeight="1" s="26"/>
    <row r="29" ht="14.25" customHeight="1" s="26"/>
    <row r="30" ht="14.25" customHeight="1" s="26"/>
    <row r="31" ht="14.25" customHeight="1" s="26"/>
    <row r="32" ht="14.25" customHeight="1" s="26"/>
    <row r="33" ht="14.25" customHeight="1" s="26"/>
    <row r="34" ht="14.25" customHeight="1" s="26"/>
    <row r="35" ht="14.25" customHeight="1" s="26"/>
    <row r="36" ht="14.25" customHeight="1" s="26"/>
    <row r="37" ht="14.25" customHeight="1" s="26"/>
    <row r="38" ht="14.25" customHeight="1" s="26"/>
    <row r="39" ht="14.25" customHeight="1" s="26"/>
    <row r="40" ht="14.25" customHeight="1" s="26"/>
    <row r="41" ht="14.25" customHeight="1" s="26"/>
    <row r="42" ht="14.25" customHeight="1" s="26"/>
    <row r="43" ht="14.25" customHeight="1" s="26"/>
    <row r="44" ht="14.25" customHeight="1" s="26"/>
    <row r="45" ht="14.25" customHeight="1" s="26"/>
    <row r="46" ht="14.25" customHeight="1" s="26"/>
    <row r="47" ht="14.25" customHeight="1" s="26"/>
    <row r="48" ht="14.25" customHeight="1" s="26"/>
    <row r="49" ht="14.25" customHeight="1" s="26"/>
    <row r="50" ht="14.25" customHeight="1" s="26"/>
    <row r="51" ht="14.25" customHeight="1" s="26"/>
    <row r="52" ht="14.25" customHeight="1" s="26"/>
    <row r="53" ht="14.25" customHeight="1" s="26"/>
    <row r="54" ht="14.25" customHeight="1" s="26"/>
    <row r="55" ht="14.25" customHeight="1" s="26"/>
    <row r="56" ht="14.25" customHeight="1" s="26"/>
    <row r="57" ht="14.25" customHeight="1" s="26"/>
    <row r="58" ht="14.25" customHeight="1" s="26"/>
    <row r="59" ht="14.25" customHeight="1" s="26"/>
    <row r="60" ht="14.25" customHeight="1" s="26"/>
    <row r="61" ht="14.25" customHeight="1" s="26"/>
    <row r="62" ht="14.25" customHeight="1" s="26"/>
    <row r="63" ht="14.25" customHeight="1" s="26"/>
    <row r="64" ht="14.25" customHeight="1" s="26"/>
    <row r="65" ht="14.25" customHeight="1" s="26"/>
    <row r="66" ht="14.25" customHeight="1" s="26"/>
    <row r="67" ht="14.25" customHeight="1" s="26"/>
    <row r="68" ht="14.25" customHeight="1" s="26"/>
    <row r="69" ht="14.25" customHeight="1" s="26"/>
    <row r="70" ht="14.25" customHeight="1" s="26"/>
    <row r="71" ht="14.25" customHeight="1" s="26"/>
    <row r="72" ht="14.25" customHeight="1" s="26"/>
    <row r="73" ht="14.25" customHeight="1" s="26"/>
    <row r="74" ht="14.25" customHeight="1" s="26"/>
    <row r="75" ht="14.25" customHeight="1" s="26"/>
    <row r="76" ht="14.25" customHeight="1" s="26"/>
    <row r="77" ht="14.25" customHeight="1" s="26"/>
    <row r="78" ht="14.25" customHeight="1" s="26"/>
    <row r="79" ht="14.25" customHeight="1" s="26"/>
    <row r="80" ht="14.25" customHeight="1" s="26"/>
    <row r="81" ht="14.25" customHeight="1" s="26"/>
    <row r="82" ht="14.25" customHeight="1" s="26"/>
    <row r="83" ht="14.25" customHeight="1" s="26"/>
    <row r="84" ht="14.25" customHeight="1" s="26"/>
    <row r="85" ht="14.25" customHeight="1" s="26"/>
    <row r="86" ht="14.25" customHeight="1" s="26"/>
    <row r="87" ht="14.25" customHeight="1" s="26"/>
    <row r="88" ht="14.25" customHeight="1" s="26"/>
    <row r="89" ht="14.25" customHeight="1" s="26"/>
    <row r="90" ht="14.25" customHeight="1" s="26"/>
    <row r="91" ht="14.25" customHeight="1" s="26"/>
    <row r="92" ht="14.25" customHeight="1" s="26"/>
    <row r="93" ht="14.25" customHeight="1" s="26"/>
    <row r="94" ht="14.25" customHeight="1" s="26"/>
    <row r="95" ht="14.25" customHeight="1" s="26"/>
    <row r="96" ht="14.25" customHeight="1" s="26"/>
    <row r="97" ht="14.25" customHeight="1" s="26"/>
    <row r="98" ht="14.25" customHeight="1" s="26"/>
    <row r="99" ht="14.25" customHeight="1" s="26"/>
    <row r="100" ht="14.25" customHeight="1" s="26"/>
    <row r="101" ht="14.25" customHeight="1" s="26"/>
    <row r="102" ht="14.25" customHeight="1" s="26"/>
    <row r="103" ht="14.25" customHeight="1" s="26"/>
    <row r="104" ht="14.25" customHeight="1" s="26"/>
    <row r="105" ht="14.25" customHeight="1" s="26"/>
    <row r="106" ht="14.25" customHeight="1" s="26"/>
    <row r="107" ht="14.25" customHeight="1" s="26"/>
    <row r="108" ht="14.25" customHeight="1" s="26"/>
    <row r="109" ht="14.25" customHeight="1" s="26"/>
    <row r="110" ht="14.25" customHeight="1" s="26"/>
    <row r="111" ht="14.25" customHeight="1" s="26"/>
    <row r="112" ht="14.25" customHeight="1" s="26"/>
    <row r="113" ht="14.25" customHeight="1" s="26"/>
    <row r="114" ht="14.25" customHeight="1" s="26"/>
    <row r="115" ht="14.25" customHeight="1" s="26"/>
    <row r="116" ht="14.25" customHeight="1" s="26"/>
    <row r="117" ht="14.25" customHeight="1" s="26"/>
    <row r="118" ht="14.25" customHeight="1" s="26"/>
    <row r="119" ht="14.25" customHeight="1" s="26"/>
    <row r="120" ht="14.25" customHeight="1" s="26"/>
    <row r="121" ht="14.25" customHeight="1" s="26"/>
    <row r="122" ht="14.25" customHeight="1" s="26"/>
    <row r="123" ht="14.25" customHeight="1" s="26"/>
    <row r="124" ht="14.25" customHeight="1" s="26"/>
    <row r="125" ht="14.25" customHeight="1" s="26"/>
    <row r="126" ht="14.25" customHeight="1" s="26"/>
    <row r="127" ht="14.25" customHeight="1" s="26"/>
    <row r="128" ht="14.25" customHeight="1" s="26"/>
    <row r="129" ht="14.25" customHeight="1" s="26"/>
    <row r="130" ht="14.25" customHeight="1" s="26"/>
    <row r="131" ht="14.25" customHeight="1" s="26"/>
    <row r="132" ht="14.25" customHeight="1" s="26"/>
    <row r="133" ht="14.25" customHeight="1" s="26"/>
    <row r="134" ht="14.25" customHeight="1" s="26"/>
    <row r="135" ht="14.25" customHeight="1" s="26"/>
    <row r="136" ht="14.25" customHeight="1" s="26"/>
    <row r="137" ht="14.25" customHeight="1" s="26"/>
    <row r="138" ht="14.25" customHeight="1" s="26"/>
    <row r="139" ht="14.25" customHeight="1" s="26"/>
    <row r="140" ht="14.25" customHeight="1" s="26"/>
    <row r="141" ht="14.25" customHeight="1" s="26"/>
    <row r="142" ht="14.25" customHeight="1" s="26"/>
    <row r="143" ht="14.25" customHeight="1" s="26"/>
    <row r="144" ht="14.25" customHeight="1" s="26"/>
    <row r="145" ht="14.25" customHeight="1" s="26"/>
    <row r="146" ht="14.25" customHeight="1" s="26"/>
    <row r="147" ht="14.25" customHeight="1" s="26"/>
    <row r="148" ht="14.25" customHeight="1" s="26"/>
    <row r="149" ht="14.25" customHeight="1" s="26"/>
    <row r="150" ht="14.25" customHeight="1" s="26"/>
    <row r="151" ht="14.25" customHeight="1" s="26"/>
    <row r="152" ht="14.25" customHeight="1" s="26"/>
    <row r="153" ht="14.25" customHeight="1" s="26"/>
    <row r="154" ht="14.25" customHeight="1" s="26"/>
    <row r="155" ht="14.25" customHeight="1" s="26"/>
    <row r="156" ht="14.25" customHeight="1" s="26"/>
    <row r="157" ht="14.25" customHeight="1" s="26"/>
    <row r="158" ht="14.25" customHeight="1" s="26"/>
    <row r="159" ht="14.25" customHeight="1" s="26"/>
    <row r="160" ht="14.25" customHeight="1" s="26"/>
    <row r="161" ht="14.25" customHeight="1" s="26"/>
    <row r="162" ht="14.25" customHeight="1" s="26"/>
    <row r="163" ht="14.25" customHeight="1" s="26"/>
    <row r="164" ht="14.25" customHeight="1" s="26"/>
    <row r="165" ht="14.25" customHeight="1" s="26"/>
    <row r="166" ht="14.25" customHeight="1" s="26"/>
    <row r="167" ht="14.25" customHeight="1" s="26"/>
    <row r="168" ht="14.25" customHeight="1" s="26"/>
    <row r="169" ht="14.25" customHeight="1" s="26"/>
    <row r="170" ht="14.25" customHeight="1" s="26"/>
    <row r="171" ht="14.25" customHeight="1" s="26"/>
    <row r="172" ht="14.25" customHeight="1" s="26"/>
    <row r="173" ht="14.25" customHeight="1" s="26"/>
    <row r="174" ht="14.25" customHeight="1" s="26"/>
    <row r="175" ht="14.25" customHeight="1" s="26"/>
    <row r="176" ht="14.25" customHeight="1" s="26"/>
    <row r="177" ht="14.25" customHeight="1" s="26"/>
    <row r="178" ht="14.25" customHeight="1" s="26"/>
    <row r="179" ht="14.25" customHeight="1" s="26"/>
    <row r="180" ht="14.25" customHeight="1" s="26"/>
    <row r="181" ht="14.25" customHeight="1" s="26"/>
    <row r="182" ht="14.25" customHeight="1" s="26"/>
    <row r="183" ht="14.25" customHeight="1" s="26"/>
    <row r="184" ht="14.25" customHeight="1" s="26"/>
    <row r="185" ht="14.25" customHeight="1" s="26"/>
    <row r="186" ht="14.25" customHeight="1" s="26"/>
    <row r="187" ht="14.25" customHeight="1" s="26"/>
    <row r="188" ht="14.25" customHeight="1" s="26"/>
    <row r="189" ht="14.25" customHeight="1" s="26"/>
    <row r="190" ht="14.25" customHeight="1" s="26"/>
    <row r="191" ht="14.25" customHeight="1" s="26"/>
    <row r="192" ht="14.25" customHeight="1" s="26"/>
    <row r="193" ht="14.25" customHeight="1" s="26"/>
    <row r="194" ht="14.25" customHeight="1" s="26"/>
    <row r="195" ht="14.25" customHeight="1" s="26"/>
    <row r="196" ht="14.25" customHeight="1" s="26"/>
    <row r="197" ht="14.25" customHeight="1" s="26"/>
    <row r="198" ht="14.25" customHeight="1" s="26"/>
    <row r="199" ht="14.25" customHeight="1" s="26"/>
    <row r="200" ht="14.25" customHeight="1" s="26"/>
    <row r="201" ht="14.25" customHeight="1" s="26"/>
    <row r="202" ht="14.25" customHeight="1" s="26"/>
    <row r="203" ht="14.25" customHeight="1" s="26"/>
    <row r="204" ht="14.25" customHeight="1" s="26"/>
    <row r="205" ht="14.25" customHeight="1" s="26"/>
    <row r="206" ht="14.25" customHeight="1" s="26"/>
    <row r="207" ht="14.25" customHeight="1" s="26"/>
    <row r="208" ht="14.25" customHeight="1" s="26"/>
    <row r="209" ht="14.25" customHeight="1" s="26"/>
    <row r="210" ht="14.25" customHeight="1" s="26"/>
    <row r="211" ht="14.25" customHeight="1" s="26"/>
    <row r="212" ht="14.25" customHeight="1" s="26"/>
    <row r="213" ht="14.25" customHeight="1" s="26"/>
    <row r="214" ht="14.25" customHeight="1" s="26"/>
    <row r="215" ht="14.25" customHeight="1" s="26"/>
    <row r="216" ht="14.25" customHeight="1" s="26"/>
    <row r="217" ht="14.25" customHeight="1" s="26"/>
    <row r="218" ht="14.25" customHeight="1" s="26"/>
    <row r="219" ht="14.25" customHeight="1" s="26"/>
    <row r="220" ht="14.25" customHeight="1" s="26"/>
    <row r="221" ht="14.25" customHeight="1" s="26"/>
    <row r="222" ht="14.25" customHeight="1" s="26"/>
    <row r="223" ht="14.25" customHeight="1" s="26"/>
    <row r="224" ht="14.25" customHeight="1" s="26"/>
    <row r="225" ht="14.25" customHeight="1" s="26"/>
    <row r="226" ht="14.25" customHeight="1" s="26"/>
    <row r="227" ht="14.25" customHeight="1" s="26"/>
    <row r="228" ht="14.25" customHeight="1" s="26"/>
    <row r="229" ht="14.25" customHeight="1" s="26"/>
    <row r="230" ht="14.25" customHeight="1" s="26"/>
    <row r="231" ht="14.25" customHeight="1" s="26"/>
    <row r="232" ht="14.25" customHeight="1" s="26"/>
    <row r="233" ht="14.25" customHeight="1" s="26"/>
    <row r="234" ht="14.25" customHeight="1" s="26"/>
    <row r="235" ht="14.25" customHeight="1" s="26"/>
    <row r="236" ht="14.25" customHeight="1" s="26"/>
    <row r="237" ht="14.25" customHeight="1" s="26"/>
    <row r="238" ht="14.25" customHeight="1" s="26"/>
    <row r="239" ht="14.25" customHeight="1" s="26"/>
    <row r="240" ht="14.25" customHeight="1" s="26"/>
    <row r="241" ht="14.25" customHeight="1" s="26"/>
    <row r="242" ht="14.25" customHeight="1" s="26"/>
    <row r="243" ht="14.25" customHeight="1" s="26"/>
    <row r="244" ht="14.25" customHeight="1" s="26"/>
    <row r="245" ht="14.25" customHeight="1" s="26"/>
    <row r="246" ht="14.25" customHeight="1" s="26"/>
    <row r="247" ht="14.25" customHeight="1" s="26"/>
    <row r="248" ht="14.25" customHeight="1" s="26"/>
    <row r="249" ht="14.25" customHeight="1" s="26"/>
    <row r="250" ht="14.25" customHeight="1" s="26"/>
    <row r="251" ht="14.25" customHeight="1" s="26"/>
    <row r="252" ht="14.25" customHeight="1" s="26"/>
    <row r="253" ht="14.25" customHeight="1" s="26"/>
    <row r="254" ht="14.25" customHeight="1" s="26"/>
    <row r="255" ht="14.25" customHeight="1" s="26"/>
    <row r="256" ht="14.25" customHeight="1" s="26"/>
    <row r="257" ht="14.25" customHeight="1" s="26"/>
    <row r="258" ht="14.25" customHeight="1" s="26"/>
    <row r="259" ht="14.25" customHeight="1" s="26"/>
    <row r="260" ht="14.25" customHeight="1" s="26"/>
    <row r="261" ht="14.25" customHeight="1" s="26"/>
    <row r="262" ht="14.25" customHeight="1" s="26"/>
    <row r="263" ht="14.25" customHeight="1" s="26"/>
    <row r="264" ht="14.25" customHeight="1" s="26"/>
    <row r="265" ht="14.25" customHeight="1" s="26"/>
    <row r="266" ht="14.25" customHeight="1" s="26"/>
    <row r="267" ht="14.25" customHeight="1" s="26"/>
    <row r="268" ht="14.25" customHeight="1" s="26"/>
    <row r="269" ht="14.25" customHeight="1" s="26"/>
    <row r="270" ht="14.25" customHeight="1" s="26"/>
    <row r="271" ht="14.25" customHeight="1" s="26"/>
    <row r="272" ht="14.25" customHeight="1" s="26"/>
    <row r="273" ht="14.25" customHeight="1" s="26"/>
    <row r="274" ht="14.25" customHeight="1" s="26"/>
    <row r="275" ht="14.25" customHeight="1" s="26"/>
    <row r="276" ht="14.25" customHeight="1" s="26"/>
    <row r="277" ht="14.25" customHeight="1" s="26"/>
    <row r="278" ht="14.25" customHeight="1" s="26"/>
    <row r="279" ht="14.25" customHeight="1" s="26"/>
    <row r="280" ht="14.25" customHeight="1" s="26"/>
    <row r="281" ht="14.25" customHeight="1" s="26"/>
    <row r="282" ht="14.25" customHeight="1" s="26"/>
    <row r="283" ht="14.25" customHeight="1" s="26"/>
    <row r="284" ht="14.25" customHeight="1" s="26"/>
    <row r="285" ht="14.25" customHeight="1" s="26"/>
    <row r="286" ht="14.25" customHeight="1" s="26"/>
    <row r="287" ht="14.25" customHeight="1" s="26"/>
    <row r="288" ht="14.25" customHeight="1" s="26"/>
    <row r="289" ht="14.25" customHeight="1" s="26"/>
    <row r="290" ht="14.25" customHeight="1" s="26"/>
    <row r="291" ht="14.25" customHeight="1" s="26"/>
    <row r="292" ht="14.25" customHeight="1" s="26"/>
    <row r="293" ht="14.25" customHeight="1" s="26"/>
    <row r="294" ht="14.25" customHeight="1" s="26"/>
    <row r="295" ht="14.25" customHeight="1" s="26"/>
    <row r="296" ht="14.25" customHeight="1" s="26"/>
    <row r="297" ht="14.25" customHeight="1" s="26"/>
    <row r="298" ht="14.25" customHeight="1" s="26"/>
    <row r="299" ht="14.25" customHeight="1" s="26"/>
    <row r="300" ht="14.25" customHeight="1" s="26"/>
    <row r="301" ht="14.25" customHeight="1" s="26"/>
    <row r="302" ht="14.25" customHeight="1" s="26"/>
    <row r="303" ht="14.25" customHeight="1" s="26"/>
    <row r="304" ht="14.25" customHeight="1" s="26"/>
    <row r="305" ht="14.25" customHeight="1" s="26"/>
    <row r="306" ht="14.25" customHeight="1" s="26"/>
    <row r="307" ht="14.25" customHeight="1" s="26"/>
    <row r="308" ht="14.25" customHeight="1" s="26"/>
    <row r="309" ht="14.25" customHeight="1" s="26"/>
    <row r="310" ht="14.25" customHeight="1" s="26"/>
    <row r="311" ht="14.25" customHeight="1" s="26"/>
    <row r="312" ht="14.25" customHeight="1" s="26"/>
    <row r="313" ht="14.25" customHeight="1" s="26"/>
    <row r="314" ht="14.25" customHeight="1" s="26"/>
    <row r="315" ht="14.25" customHeight="1" s="26"/>
    <row r="316" ht="14.25" customHeight="1" s="26"/>
    <row r="317" ht="14.25" customHeight="1" s="26"/>
    <row r="318" ht="14.25" customHeight="1" s="26"/>
    <row r="319" ht="14.25" customHeight="1" s="26"/>
    <row r="320" ht="14.25" customHeight="1" s="26"/>
    <row r="321" ht="14.25" customHeight="1" s="26"/>
    <row r="322" ht="14.25" customHeight="1" s="26"/>
    <row r="323" ht="14.25" customHeight="1" s="26"/>
    <row r="324" ht="14.25" customHeight="1" s="26"/>
    <row r="325" ht="14.25" customHeight="1" s="26"/>
    <row r="326" ht="14.25" customHeight="1" s="26"/>
    <row r="327" ht="14.25" customHeight="1" s="26"/>
    <row r="328" ht="14.25" customHeight="1" s="26"/>
    <row r="329" ht="14.25" customHeight="1" s="26"/>
    <row r="330" ht="14.25" customHeight="1" s="26"/>
    <row r="331" ht="14.25" customHeight="1" s="26"/>
    <row r="332" ht="14.25" customHeight="1" s="26"/>
    <row r="333" ht="14.25" customHeight="1" s="26"/>
    <row r="334" ht="14.25" customHeight="1" s="26"/>
    <row r="335" ht="14.25" customHeight="1" s="26"/>
    <row r="336" ht="14.25" customHeight="1" s="26"/>
    <row r="337" ht="14.25" customHeight="1" s="26"/>
    <row r="338" ht="14.25" customHeight="1" s="26"/>
    <row r="339" ht="14.25" customHeight="1" s="26"/>
    <row r="340" ht="14.25" customHeight="1" s="26"/>
    <row r="341" ht="14.25" customHeight="1" s="26"/>
    <row r="342" ht="14.25" customHeight="1" s="26"/>
    <row r="343" ht="14.25" customHeight="1" s="26"/>
    <row r="344" ht="14.25" customHeight="1" s="26"/>
    <row r="345" ht="14.25" customHeight="1" s="26"/>
    <row r="346" ht="14.25" customHeight="1" s="26"/>
    <row r="347" ht="14.25" customHeight="1" s="26"/>
    <row r="348" ht="14.25" customHeight="1" s="26"/>
    <row r="349" ht="14.25" customHeight="1" s="26"/>
    <row r="350" ht="14.25" customHeight="1" s="26"/>
    <row r="351" ht="14.25" customHeight="1" s="26"/>
    <row r="352" ht="14.25" customHeight="1" s="26"/>
    <row r="353" ht="14.25" customHeight="1" s="26"/>
    <row r="354" ht="14.25" customHeight="1" s="26"/>
    <row r="355" ht="14.25" customHeight="1" s="26"/>
    <row r="356" ht="14.25" customHeight="1" s="26"/>
    <row r="357" ht="14.25" customHeight="1" s="26"/>
    <row r="358" ht="14.25" customHeight="1" s="26"/>
    <row r="359" ht="14.25" customHeight="1" s="26"/>
    <row r="360" ht="14.25" customHeight="1" s="26"/>
    <row r="361" ht="14.25" customHeight="1" s="26"/>
    <row r="362" ht="14.25" customHeight="1" s="26"/>
    <row r="363" ht="14.25" customHeight="1" s="26"/>
    <row r="364" ht="14.25" customHeight="1" s="26"/>
    <row r="365" ht="14.25" customHeight="1" s="26"/>
    <row r="366" ht="14.25" customHeight="1" s="26"/>
    <row r="367" ht="14.25" customHeight="1" s="26"/>
    <row r="368" ht="14.25" customHeight="1" s="26"/>
    <row r="369" ht="14.25" customHeight="1" s="26"/>
    <row r="370" ht="14.25" customHeight="1" s="26"/>
    <row r="371" ht="14.25" customHeight="1" s="26"/>
    <row r="372" ht="14.25" customHeight="1" s="26"/>
    <row r="373" ht="14.25" customHeight="1" s="26"/>
    <row r="374" ht="14.25" customHeight="1" s="26"/>
    <row r="375" ht="14.25" customHeight="1" s="26"/>
    <row r="376" ht="14.25" customHeight="1" s="26"/>
    <row r="377" ht="14.25" customHeight="1" s="26"/>
    <row r="378" ht="14.25" customHeight="1" s="26"/>
    <row r="379" ht="14.25" customHeight="1" s="26"/>
    <row r="380" ht="14.25" customHeight="1" s="26"/>
    <row r="381" ht="14.25" customHeight="1" s="26"/>
    <row r="382" ht="14.25" customHeight="1" s="26"/>
    <row r="383" ht="14.25" customHeight="1" s="26"/>
    <row r="384" ht="14.25" customHeight="1" s="26"/>
    <row r="385" ht="14.25" customHeight="1" s="26"/>
    <row r="386" ht="14.25" customHeight="1" s="26"/>
    <row r="387" ht="14.25" customHeight="1" s="26"/>
    <row r="388" ht="14.25" customHeight="1" s="26"/>
    <row r="389" ht="14.25" customHeight="1" s="26"/>
    <row r="390" ht="14.25" customHeight="1" s="26"/>
    <row r="391" ht="14.25" customHeight="1" s="26"/>
    <row r="392" ht="14.25" customHeight="1" s="26"/>
    <row r="393" ht="14.25" customHeight="1" s="26"/>
    <row r="394" ht="14.25" customHeight="1" s="26"/>
    <row r="395" ht="14.25" customHeight="1" s="26"/>
    <row r="396" ht="14.25" customHeight="1" s="26"/>
    <row r="397" ht="14.25" customHeight="1" s="26"/>
    <row r="398" ht="14.25" customHeight="1" s="26"/>
    <row r="399" ht="14.25" customHeight="1" s="26"/>
    <row r="400" ht="14.25" customHeight="1" s="26"/>
    <row r="401" ht="14.25" customHeight="1" s="26"/>
    <row r="402" ht="14.25" customHeight="1" s="26"/>
    <row r="403" ht="14.25" customHeight="1" s="26"/>
    <row r="404" ht="14.25" customHeight="1" s="26"/>
    <row r="405" ht="14.25" customHeight="1" s="26"/>
    <row r="406" ht="14.25" customHeight="1" s="26"/>
    <row r="407" ht="14.25" customHeight="1" s="26"/>
    <row r="408" ht="14.25" customHeight="1" s="26"/>
    <row r="409" ht="14.25" customHeight="1" s="26"/>
    <row r="410" ht="14.25" customHeight="1" s="26"/>
    <row r="411" ht="14.25" customHeight="1" s="26"/>
    <row r="412" ht="14.25" customHeight="1" s="26"/>
    <row r="413" ht="14.25" customHeight="1" s="26"/>
    <row r="414" ht="14.25" customHeight="1" s="26"/>
    <row r="415" ht="14.25" customHeight="1" s="26"/>
    <row r="416" ht="14.25" customHeight="1" s="26"/>
    <row r="417" ht="14.25" customHeight="1" s="26"/>
    <row r="418" ht="14.25" customHeight="1" s="26"/>
    <row r="419" ht="14.25" customHeight="1" s="26"/>
    <row r="420" ht="14.25" customHeight="1" s="26"/>
    <row r="421" ht="14.25" customHeight="1" s="26"/>
    <row r="422" ht="14.25" customHeight="1" s="26"/>
    <row r="423" ht="14.25" customHeight="1" s="26"/>
    <row r="424" ht="14.25" customHeight="1" s="26"/>
    <row r="425" ht="14.25" customHeight="1" s="26"/>
    <row r="426" ht="14.25" customHeight="1" s="26"/>
    <row r="427" ht="14.25" customHeight="1" s="26"/>
    <row r="428" ht="14.25" customHeight="1" s="26"/>
    <row r="429" ht="14.25" customHeight="1" s="26"/>
    <row r="430" ht="14.25" customHeight="1" s="26"/>
    <row r="431" ht="14.25" customHeight="1" s="26"/>
    <row r="432" ht="14.25" customHeight="1" s="26"/>
    <row r="433" ht="14.25" customHeight="1" s="26"/>
    <row r="434" ht="14.25" customHeight="1" s="26"/>
    <row r="435" ht="14.25" customHeight="1" s="26"/>
    <row r="436" ht="14.25" customHeight="1" s="26"/>
    <row r="437" ht="14.25" customHeight="1" s="26"/>
    <row r="438" ht="14.25" customHeight="1" s="26"/>
    <row r="439" ht="14.25" customHeight="1" s="26"/>
    <row r="440" ht="14.25" customHeight="1" s="26"/>
    <row r="441" ht="14.25" customHeight="1" s="26"/>
    <row r="442" ht="14.25" customHeight="1" s="26"/>
    <row r="443" ht="14.25" customHeight="1" s="26"/>
    <row r="444" ht="14.25" customHeight="1" s="26"/>
    <row r="445" ht="14.25" customHeight="1" s="26"/>
    <row r="446" ht="14.25" customHeight="1" s="26"/>
    <row r="447" ht="14.25" customHeight="1" s="26"/>
    <row r="448" ht="14.25" customHeight="1" s="26"/>
    <row r="449" ht="14.25" customHeight="1" s="26"/>
    <row r="450" ht="14.25" customHeight="1" s="26"/>
    <row r="451" ht="14.25" customHeight="1" s="26"/>
    <row r="452" ht="14.25" customHeight="1" s="26"/>
    <row r="453" ht="14.25" customHeight="1" s="26"/>
    <row r="454" ht="14.25" customHeight="1" s="26"/>
    <row r="455" ht="14.25" customHeight="1" s="26"/>
    <row r="456" ht="14.25" customHeight="1" s="26"/>
    <row r="457" ht="14.25" customHeight="1" s="26"/>
    <row r="458" ht="14.25" customHeight="1" s="26"/>
    <row r="459" ht="14.25" customHeight="1" s="26"/>
    <row r="460" ht="14.25" customHeight="1" s="26"/>
    <row r="461" ht="14.25" customHeight="1" s="26"/>
    <row r="462" ht="14.25" customHeight="1" s="26"/>
    <row r="463" ht="14.25" customHeight="1" s="26"/>
    <row r="464" ht="14.25" customHeight="1" s="26"/>
    <row r="465" ht="14.25" customHeight="1" s="26"/>
    <row r="466" ht="14.25" customHeight="1" s="26"/>
    <row r="467" ht="14.25" customHeight="1" s="26"/>
    <row r="468" ht="14.25" customHeight="1" s="26"/>
    <row r="469" ht="14.25" customHeight="1" s="26"/>
    <row r="470" ht="14.25" customHeight="1" s="26"/>
    <row r="471" ht="14.25" customHeight="1" s="26"/>
    <row r="472" ht="14.25" customHeight="1" s="26"/>
    <row r="473" ht="14.25" customHeight="1" s="26"/>
    <row r="474" ht="14.25" customHeight="1" s="26"/>
    <row r="475" ht="14.25" customHeight="1" s="26"/>
    <row r="476" ht="14.25" customHeight="1" s="26"/>
    <row r="477" ht="14.25" customHeight="1" s="26"/>
    <row r="478" ht="14.25" customHeight="1" s="26"/>
    <row r="479" ht="14.25" customHeight="1" s="26"/>
    <row r="480" ht="14.25" customHeight="1" s="26"/>
    <row r="481" ht="14.25" customHeight="1" s="26"/>
    <row r="482" ht="14.25" customHeight="1" s="26"/>
    <row r="483" ht="14.25" customHeight="1" s="26"/>
    <row r="484" ht="14.25" customHeight="1" s="26"/>
    <row r="485" ht="14.25" customHeight="1" s="26"/>
    <row r="486" ht="14.25" customHeight="1" s="26"/>
    <row r="487" ht="14.25" customHeight="1" s="26"/>
    <row r="488" ht="14.25" customHeight="1" s="26"/>
    <row r="489" ht="14.25" customHeight="1" s="26"/>
    <row r="490" ht="14.25" customHeight="1" s="26"/>
    <row r="491" ht="14.25" customHeight="1" s="26"/>
    <row r="492" ht="14.25" customHeight="1" s="26"/>
    <row r="493" ht="14.25" customHeight="1" s="26"/>
    <row r="494" ht="14.25" customHeight="1" s="26"/>
    <row r="495" ht="14.25" customHeight="1" s="26"/>
    <row r="496" ht="14.25" customHeight="1" s="26"/>
    <row r="497" ht="14.25" customHeight="1" s="26"/>
    <row r="498" ht="14.25" customHeight="1" s="26"/>
    <row r="499" ht="14.25" customHeight="1" s="26"/>
    <row r="500" ht="14.25" customHeight="1" s="26"/>
    <row r="501" ht="14.25" customHeight="1" s="26"/>
    <row r="502" ht="14.25" customHeight="1" s="26"/>
    <row r="503" ht="14.25" customHeight="1" s="26"/>
    <row r="504" ht="14.25" customHeight="1" s="26"/>
    <row r="505" ht="14.25" customHeight="1" s="26"/>
    <row r="506" ht="14.25" customHeight="1" s="26"/>
    <row r="507" ht="14.25" customHeight="1" s="26"/>
    <row r="508" ht="14.25" customHeight="1" s="26"/>
    <row r="509" ht="14.25" customHeight="1" s="26"/>
    <row r="510" ht="14.25" customHeight="1" s="26"/>
    <row r="511" ht="14.25" customHeight="1" s="26"/>
    <row r="512" ht="14.25" customHeight="1" s="26"/>
    <row r="513" ht="14.25" customHeight="1" s="26"/>
    <row r="514" ht="14.25" customHeight="1" s="26"/>
    <row r="515" ht="14.25" customHeight="1" s="26"/>
    <row r="516" ht="14.25" customHeight="1" s="26"/>
    <row r="517" ht="14.25" customHeight="1" s="26"/>
    <row r="518" ht="14.25" customHeight="1" s="26"/>
    <row r="519" ht="14.25" customHeight="1" s="26"/>
    <row r="520" ht="14.25" customHeight="1" s="26"/>
    <row r="521" ht="14.25" customHeight="1" s="26"/>
    <row r="522" ht="14.25" customHeight="1" s="26"/>
    <row r="523" ht="14.25" customHeight="1" s="26"/>
    <row r="524" ht="14.25" customHeight="1" s="26"/>
    <row r="525" ht="14.25" customHeight="1" s="26"/>
    <row r="526" ht="14.25" customHeight="1" s="26"/>
    <row r="527" ht="14.25" customHeight="1" s="26"/>
    <row r="528" ht="14.25" customHeight="1" s="26"/>
    <row r="529" ht="14.25" customHeight="1" s="26"/>
    <row r="530" ht="14.25" customHeight="1" s="26"/>
    <row r="531" ht="14.25" customHeight="1" s="26"/>
    <row r="532" ht="14.25" customHeight="1" s="26"/>
    <row r="533" ht="14.25" customHeight="1" s="26"/>
    <row r="534" ht="14.25" customHeight="1" s="26"/>
    <row r="535" ht="14.25" customHeight="1" s="26"/>
    <row r="536" ht="14.25" customHeight="1" s="26"/>
    <row r="537" ht="14.25" customHeight="1" s="26"/>
    <row r="538" ht="14.25" customHeight="1" s="26"/>
    <row r="539" ht="14.25" customHeight="1" s="26"/>
    <row r="540" ht="14.25" customHeight="1" s="26"/>
    <row r="541" ht="14.25" customHeight="1" s="26"/>
    <row r="542" ht="14.25" customHeight="1" s="26"/>
    <row r="543" ht="14.25" customHeight="1" s="26"/>
    <row r="544" ht="14.25" customHeight="1" s="26"/>
    <row r="545" ht="14.25" customHeight="1" s="26"/>
    <row r="546" ht="14.25" customHeight="1" s="26"/>
    <row r="547" ht="14.25" customHeight="1" s="26"/>
    <row r="548" ht="14.25" customHeight="1" s="26"/>
    <row r="549" ht="14.25" customHeight="1" s="26"/>
    <row r="550" ht="14.25" customHeight="1" s="26"/>
    <row r="551" ht="14.25" customHeight="1" s="26"/>
    <row r="552" ht="14.25" customHeight="1" s="26"/>
    <row r="553" ht="14.25" customHeight="1" s="26"/>
    <row r="554" ht="14.25" customHeight="1" s="26"/>
    <row r="555" ht="14.25" customHeight="1" s="26"/>
    <row r="556" ht="14.25" customHeight="1" s="26"/>
    <row r="557" ht="14.25" customHeight="1" s="26"/>
    <row r="558" ht="14.25" customHeight="1" s="26"/>
    <row r="559" ht="14.25" customHeight="1" s="26"/>
    <row r="560" ht="14.25" customHeight="1" s="26"/>
    <row r="561" ht="14.25" customHeight="1" s="26"/>
    <row r="562" ht="14.25" customHeight="1" s="26"/>
    <row r="563" ht="14.25" customHeight="1" s="26"/>
    <row r="564" ht="14.25" customHeight="1" s="26"/>
    <row r="565" ht="14.25" customHeight="1" s="26"/>
    <row r="566" ht="14.25" customHeight="1" s="26"/>
    <row r="567" ht="14.25" customHeight="1" s="26"/>
    <row r="568" ht="14.25" customHeight="1" s="26"/>
    <row r="569" ht="14.25" customHeight="1" s="26"/>
    <row r="570" ht="14.25" customHeight="1" s="26"/>
    <row r="571" ht="14.25" customHeight="1" s="26"/>
    <row r="572" ht="14.25" customHeight="1" s="26"/>
    <row r="573" ht="14.25" customHeight="1" s="26"/>
    <row r="574" ht="14.25" customHeight="1" s="26"/>
    <row r="575" ht="14.25" customHeight="1" s="26"/>
    <row r="576" ht="14.25" customHeight="1" s="26"/>
    <row r="577" ht="14.25" customHeight="1" s="26"/>
    <row r="578" ht="14.25" customHeight="1" s="26"/>
    <row r="579" ht="14.25" customHeight="1" s="26"/>
    <row r="580" ht="14.25" customHeight="1" s="26"/>
    <row r="581" ht="14.25" customHeight="1" s="26"/>
    <row r="582" ht="14.25" customHeight="1" s="26"/>
    <row r="583" ht="14.25" customHeight="1" s="26"/>
    <row r="584" ht="14.25" customHeight="1" s="26"/>
    <row r="585" ht="14.25" customHeight="1" s="26"/>
    <row r="586" ht="14.25" customHeight="1" s="26"/>
    <row r="587" ht="14.25" customHeight="1" s="26"/>
    <row r="588" ht="14.25" customHeight="1" s="26"/>
    <row r="589" ht="14.25" customHeight="1" s="26"/>
    <row r="590" ht="14.25" customHeight="1" s="26"/>
    <row r="591" ht="14.25" customHeight="1" s="26"/>
    <row r="592" ht="14.25" customHeight="1" s="26"/>
    <row r="593" ht="14.25" customHeight="1" s="26"/>
    <row r="594" ht="14.25" customHeight="1" s="26"/>
    <row r="595" ht="14.25" customHeight="1" s="26"/>
    <row r="596" ht="14.25" customHeight="1" s="26"/>
    <row r="597" ht="14.25" customHeight="1" s="26"/>
    <row r="598" ht="14.25" customHeight="1" s="26"/>
    <row r="599" ht="14.25" customHeight="1" s="26"/>
    <row r="600" ht="14.25" customHeight="1" s="26"/>
    <row r="601" ht="14.25" customHeight="1" s="26"/>
    <row r="602" ht="14.25" customHeight="1" s="26"/>
    <row r="603" ht="14.25" customHeight="1" s="26"/>
    <row r="604" ht="14.25" customHeight="1" s="26"/>
    <row r="605" ht="14.25" customHeight="1" s="26"/>
    <row r="606" ht="14.25" customHeight="1" s="26"/>
    <row r="607" ht="14.25" customHeight="1" s="26"/>
    <row r="608" ht="14.25" customHeight="1" s="26"/>
    <row r="609" ht="14.25" customHeight="1" s="26"/>
    <row r="610" ht="14.25" customHeight="1" s="26"/>
    <row r="611" ht="14.25" customHeight="1" s="26"/>
    <row r="612" ht="14.25" customHeight="1" s="26"/>
    <row r="613" ht="14.25" customHeight="1" s="26"/>
    <row r="614" ht="14.25" customHeight="1" s="26"/>
    <row r="615" ht="14.25" customHeight="1" s="26"/>
    <row r="616" ht="14.25" customHeight="1" s="26"/>
    <row r="617" ht="14.25" customHeight="1" s="26"/>
    <row r="618" ht="14.25" customHeight="1" s="26"/>
    <row r="619" ht="14.25" customHeight="1" s="26"/>
    <row r="620" ht="14.25" customHeight="1" s="26"/>
    <row r="621" ht="14.25" customHeight="1" s="26"/>
    <row r="622" ht="14.25" customHeight="1" s="26"/>
    <row r="623" ht="14.25" customHeight="1" s="26"/>
    <row r="624" ht="14.25" customHeight="1" s="26"/>
    <row r="625" ht="14.25" customHeight="1" s="26"/>
    <row r="626" ht="14.25" customHeight="1" s="26"/>
    <row r="627" ht="14.25" customHeight="1" s="26"/>
    <row r="628" ht="14.25" customHeight="1" s="26"/>
    <row r="629" ht="14.25" customHeight="1" s="26"/>
    <row r="630" ht="14.25" customHeight="1" s="26"/>
    <row r="631" ht="14.25" customHeight="1" s="26"/>
    <row r="632" ht="14.25" customHeight="1" s="26"/>
    <row r="633" ht="14.25" customHeight="1" s="26"/>
    <row r="634" ht="14.25" customHeight="1" s="26"/>
    <row r="635" ht="14.25" customHeight="1" s="26"/>
    <row r="636" ht="14.25" customHeight="1" s="26"/>
    <row r="637" ht="14.25" customHeight="1" s="26"/>
    <row r="638" ht="14.25" customHeight="1" s="26"/>
    <row r="639" ht="14.25" customHeight="1" s="26"/>
    <row r="640" ht="14.25" customHeight="1" s="26"/>
    <row r="641" ht="14.25" customHeight="1" s="26"/>
    <row r="642" ht="14.25" customHeight="1" s="26"/>
    <row r="643" ht="14.25" customHeight="1" s="26"/>
    <row r="644" ht="14.25" customHeight="1" s="26"/>
    <row r="645" ht="14.25" customHeight="1" s="26"/>
    <row r="646" ht="14.25" customHeight="1" s="26"/>
    <row r="647" ht="14.25" customHeight="1" s="26"/>
    <row r="648" ht="14.25" customHeight="1" s="26"/>
    <row r="649" ht="14.25" customHeight="1" s="26"/>
    <row r="650" ht="14.25" customHeight="1" s="26"/>
    <row r="651" ht="14.25" customHeight="1" s="26"/>
    <row r="652" ht="14.25" customHeight="1" s="26"/>
    <row r="653" ht="14.25" customHeight="1" s="26"/>
    <row r="654" ht="14.25" customHeight="1" s="26"/>
    <row r="655" ht="14.25" customHeight="1" s="26"/>
    <row r="656" ht="14.25" customHeight="1" s="26"/>
    <row r="657" ht="14.25" customHeight="1" s="26"/>
    <row r="658" ht="14.25" customHeight="1" s="26"/>
    <row r="659" ht="14.25" customHeight="1" s="26"/>
    <row r="660" ht="14.25" customHeight="1" s="26"/>
    <row r="661" ht="14.25" customHeight="1" s="26"/>
    <row r="662" ht="14.25" customHeight="1" s="26"/>
    <row r="663" ht="14.25" customHeight="1" s="26"/>
    <row r="664" ht="14.25" customHeight="1" s="26"/>
    <row r="665" ht="14.25" customHeight="1" s="26"/>
    <row r="666" ht="14.25" customHeight="1" s="26"/>
    <row r="667" ht="14.25" customHeight="1" s="26"/>
    <row r="668" ht="14.25" customHeight="1" s="26"/>
    <row r="669" ht="14.25" customHeight="1" s="26"/>
    <row r="670" ht="14.25" customHeight="1" s="26"/>
    <row r="671" ht="14.25" customHeight="1" s="26"/>
    <row r="672" ht="14.25" customHeight="1" s="26"/>
    <row r="673" ht="14.25" customHeight="1" s="26"/>
    <row r="674" ht="14.25" customHeight="1" s="26"/>
    <row r="675" ht="14.25" customHeight="1" s="26"/>
    <row r="676" ht="14.25" customHeight="1" s="26"/>
    <row r="677" ht="14.25" customHeight="1" s="26"/>
    <row r="678" ht="14.25" customHeight="1" s="26"/>
    <row r="679" ht="14.25" customHeight="1" s="26"/>
    <row r="680" ht="14.25" customHeight="1" s="26"/>
    <row r="681" ht="14.25" customHeight="1" s="26"/>
    <row r="682" ht="14.25" customHeight="1" s="26"/>
    <row r="683" ht="14.25" customHeight="1" s="26"/>
    <row r="684" ht="14.25" customHeight="1" s="26"/>
    <row r="685" ht="14.25" customHeight="1" s="26"/>
    <row r="686" ht="14.25" customHeight="1" s="26"/>
    <row r="687" ht="14.25" customHeight="1" s="26"/>
    <row r="688" ht="14.25" customHeight="1" s="26"/>
    <row r="689" ht="14.25" customHeight="1" s="26"/>
    <row r="690" ht="14.25" customHeight="1" s="26"/>
    <row r="691" ht="14.25" customHeight="1" s="26"/>
    <row r="692" ht="14.25" customHeight="1" s="26"/>
    <row r="693" ht="14.25" customHeight="1" s="26"/>
    <row r="694" ht="14.25" customHeight="1" s="26"/>
    <row r="695" ht="14.25" customHeight="1" s="26"/>
    <row r="696" ht="14.25" customHeight="1" s="26"/>
    <row r="697" ht="14.25" customHeight="1" s="26"/>
    <row r="698" ht="14.25" customHeight="1" s="26"/>
    <row r="699" ht="14.25" customHeight="1" s="26"/>
    <row r="700" ht="14.25" customHeight="1" s="26"/>
    <row r="701" ht="14.25" customHeight="1" s="26"/>
    <row r="702" ht="14.25" customHeight="1" s="26"/>
    <row r="703" ht="14.25" customHeight="1" s="26"/>
    <row r="704" ht="14.25" customHeight="1" s="26"/>
    <row r="705" ht="14.25" customHeight="1" s="26"/>
    <row r="706" ht="14.25" customHeight="1" s="26"/>
    <row r="707" ht="14.25" customHeight="1" s="26"/>
    <row r="708" ht="14.25" customHeight="1" s="26"/>
    <row r="709" ht="14.25" customHeight="1" s="26"/>
    <row r="710" ht="14.25" customHeight="1" s="26"/>
    <row r="711" ht="14.25" customHeight="1" s="26"/>
    <row r="712" ht="14.25" customHeight="1" s="26"/>
    <row r="713" ht="14.25" customHeight="1" s="26"/>
    <row r="714" ht="14.25" customHeight="1" s="26"/>
    <row r="715" ht="14.25" customHeight="1" s="26"/>
    <row r="716" ht="14.25" customHeight="1" s="26"/>
    <row r="717" ht="14.25" customHeight="1" s="26"/>
    <row r="718" ht="14.25" customHeight="1" s="26"/>
    <row r="719" ht="14.25" customHeight="1" s="26"/>
    <row r="720" ht="14.25" customHeight="1" s="26"/>
    <row r="721" ht="14.25" customHeight="1" s="26"/>
    <row r="722" ht="14.25" customHeight="1" s="26"/>
    <row r="723" ht="14.25" customHeight="1" s="26"/>
    <row r="724" ht="14.25" customHeight="1" s="26"/>
    <row r="725" ht="14.25" customHeight="1" s="26"/>
    <row r="726" ht="14.25" customHeight="1" s="26"/>
    <row r="727" ht="14.25" customHeight="1" s="26"/>
    <row r="728" ht="14.25" customHeight="1" s="26"/>
    <row r="729" ht="14.25" customHeight="1" s="26"/>
    <row r="730" ht="14.25" customHeight="1" s="26"/>
    <row r="731" ht="14.25" customHeight="1" s="26"/>
    <row r="732" ht="14.25" customHeight="1" s="26"/>
    <row r="733" ht="14.25" customHeight="1" s="26"/>
    <row r="734" ht="14.25" customHeight="1" s="26"/>
    <row r="735" ht="14.25" customHeight="1" s="26"/>
    <row r="736" ht="14.25" customHeight="1" s="26"/>
    <row r="737" ht="14.25" customHeight="1" s="26"/>
    <row r="738" ht="14.25" customHeight="1" s="26"/>
    <row r="739" ht="14.25" customHeight="1" s="26"/>
    <row r="740" ht="14.25" customHeight="1" s="26"/>
    <row r="741" ht="14.25" customHeight="1" s="26"/>
    <row r="742" ht="14.25" customHeight="1" s="26"/>
    <row r="743" ht="14.25" customHeight="1" s="26"/>
    <row r="744" ht="14.25" customHeight="1" s="26"/>
    <row r="745" ht="14.25" customHeight="1" s="26"/>
    <row r="746" ht="14.25" customHeight="1" s="26"/>
    <row r="747" ht="14.25" customHeight="1" s="26"/>
    <row r="748" ht="14.25" customHeight="1" s="26"/>
    <row r="749" ht="14.25" customHeight="1" s="26"/>
    <row r="750" ht="14.25" customHeight="1" s="26"/>
    <row r="751" ht="14.25" customHeight="1" s="26"/>
    <row r="752" ht="14.25" customHeight="1" s="26"/>
    <row r="753" ht="14.25" customHeight="1" s="26"/>
    <row r="754" ht="14.25" customHeight="1" s="26"/>
    <row r="755" ht="14.25" customHeight="1" s="26"/>
    <row r="756" ht="14.25" customHeight="1" s="26"/>
    <row r="757" ht="14.25" customHeight="1" s="26"/>
    <row r="758" ht="14.25" customHeight="1" s="26"/>
    <row r="759" ht="14.25" customHeight="1" s="26"/>
    <row r="760" ht="14.25" customHeight="1" s="26"/>
    <row r="761" ht="14.25" customHeight="1" s="26"/>
    <row r="762" ht="14.25" customHeight="1" s="26"/>
    <row r="763" ht="14.25" customHeight="1" s="26"/>
    <row r="764" ht="14.25" customHeight="1" s="26"/>
    <row r="765" ht="14.25" customHeight="1" s="26"/>
    <row r="766" ht="14.25" customHeight="1" s="26"/>
    <row r="767" ht="14.25" customHeight="1" s="26"/>
    <row r="768" ht="14.25" customHeight="1" s="26"/>
    <row r="769" ht="14.25" customHeight="1" s="26"/>
    <row r="770" ht="14.25" customHeight="1" s="26"/>
    <row r="771" ht="14.25" customHeight="1" s="26"/>
    <row r="772" ht="14.25" customHeight="1" s="26"/>
    <row r="773" ht="14.25" customHeight="1" s="26"/>
    <row r="774" ht="14.25" customHeight="1" s="26"/>
    <row r="775" ht="14.25" customHeight="1" s="26"/>
    <row r="776" ht="14.25" customHeight="1" s="26"/>
    <row r="777" ht="14.25" customHeight="1" s="26"/>
    <row r="778" ht="14.25" customHeight="1" s="26"/>
    <row r="779" ht="14.25" customHeight="1" s="26"/>
    <row r="780" ht="14.25" customHeight="1" s="26"/>
    <row r="781" ht="14.25" customHeight="1" s="26"/>
    <row r="782" ht="14.25" customHeight="1" s="26"/>
    <row r="783" ht="14.25" customHeight="1" s="26"/>
    <row r="784" ht="14.25" customHeight="1" s="26"/>
    <row r="785" ht="14.25" customHeight="1" s="26"/>
    <row r="786" ht="14.25" customHeight="1" s="26"/>
    <row r="787" ht="14.25" customHeight="1" s="26"/>
    <row r="788" ht="14.25" customHeight="1" s="26"/>
    <row r="789" ht="14.25" customHeight="1" s="26"/>
    <row r="790" ht="14.25" customHeight="1" s="26"/>
    <row r="791" ht="14.25" customHeight="1" s="26"/>
    <row r="792" ht="14.25" customHeight="1" s="26"/>
    <row r="793" ht="14.25" customHeight="1" s="26"/>
    <row r="794" ht="14.25" customHeight="1" s="26"/>
    <row r="795" ht="14.25" customHeight="1" s="26"/>
    <row r="796" ht="14.25" customHeight="1" s="26"/>
    <row r="797" ht="14.25" customHeight="1" s="26"/>
    <row r="798" ht="14.25" customHeight="1" s="26"/>
    <row r="799" ht="14.25" customHeight="1" s="26"/>
    <row r="800" ht="14.25" customHeight="1" s="26"/>
    <row r="801" ht="14.25" customHeight="1" s="26"/>
    <row r="802" ht="14.25" customHeight="1" s="26"/>
    <row r="803" ht="14.25" customHeight="1" s="26"/>
    <row r="804" ht="14.25" customHeight="1" s="26"/>
    <row r="805" ht="14.25" customHeight="1" s="26"/>
    <row r="806" ht="14.25" customHeight="1" s="26"/>
    <row r="807" ht="14.25" customHeight="1" s="26"/>
    <row r="808" ht="14.25" customHeight="1" s="26"/>
    <row r="809" ht="14.25" customHeight="1" s="26"/>
    <row r="810" ht="14.25" customHeight="1" s="26"/>
    <row r="811" ht="14.25" customHeight="1" s="26"/>
    <row r="812" ht="14.25" customHeight="1" s="26"/>
    <row r="813" ht="14.25" customHeight="1" s="26"/>
    <row r="814" ht="14.25" customHeight="1" s="26"/>
    <row r="815" ht="14.25" customHeight="1" s="26"/>
    <row r="816" ht="14.25" customHeight="1" s="26"/>
    <row r="817" ht="14.25" customHeight="1" s="26"/>
    <row r="818" ht="14.25" customHeight="1" s="26"/>
    <row r="819" ht="14.25" customHeight="1" s="26"/>
    <row r="820" ht="14.25" customHeight="1" s="26"/>
    <row r="821" ht="14.25" customHeight="1" s="26"/>
    <row r="822" ht="14.25" customHeight="1" s="26"/>
    <row r="823" ht="14.25" customHeight="1" s="26"/>
    <row r="824" ht="14.25" customHeight="1" s="26"/>
    <row r="825" ht="14.25" customHeight="1" s="26"/>
    <row r="826" ht="14.25" customHeight="1" s="26"/>
    <row r="827" ht="14.25" customHeight="1" s="26"/>
    <row r="828" ht="14.25" customHeight="1" s="26"/>
    <row r="829" ht="14.25" customHeight="1" s="26"/>
    <row r="830" ht="14.25" customHeight="1" s="26"/>
    <row r="831" ht="14.25" customHeight="1" s="26"/>
    <row r="832" ht="14.25" customHeight="1" s="26"/>
    <row r="833" ht="14.25" customHeight="1" s="26"/>
    <row r="834" ht="14.25" customHeight="1" s="26"/>
    <row r="835" ht="14.25" customHeight="1" s="26"/>
    <row r="836" ht="14.25" customHeight="1" s="26"/>
    <row r="837" ht="14.25" customHeight="1" s="26"/>
    <row r="838" ht="14.25" customHeight="1" s="26"/>
    <row r="839" ht="14.25" customHeight="1" s="26"/>
    <row r="840" ht="14.25" customHeight="1" s="26"/>
    <row r="841" ht="14.25" customHeight="1" s="26"/>
    <row r="842" ht="14.25" customHeight="1" s="26"/>
    <row r="843" ht="14.25" customHeight="1" s="26"/>
    <row r="844" ht="14.25" customHeight="1" s="26"/>
    <row r="845" ht="14.25" customHeight="1" s="26"/>
    <row r="846" ht="14.25" customHeight="1" s="26"/>
    <row r="847" ht="14.25" customHeight="1" s="26"/>
    <row r="848" ht="14.25" customHeight="1" s="26"/>
    <row r="849" ht="14.25" customHeight="1" s="26"/>
    <row r="850" ht="14.25" customHeight="1" s="26"/>
    <row r="851" ht="14.25" customHeight="1" s="26"/>
    <row r="852" ht="14.25" customHeight="1" s="26"/>
    <row r="853" ht="14.25" customHeight="1" s="26"/>
    <row r="854" ht="14.25" customHeight="1" s="26"/>
    <row r="855" ht="14.25" customHeight="1" s="26"/>
    <row r="856" ht="14.25" customHeight="1" s="26"/>
    <row r="857" ht="14.25" customHeight="1" s="26"/>
    <row r="858" ht="14.25" customHeight="1" s="26"/>
    <row r="859" ht="14.25" customHeight="1" s="26"/>
    <row r="860" ht="14.25" customHeight="1" s="26"/>
    <row r="861" ht="14.25" customHeight="1" s="26"/>
    <row r="862" ht="14.25" customHeight="1" s="26"/>
    <row r="863" ht="14.25" customHeight="1" s="26"/>
    <row r="864" ht="14.25" customHeight="1" s="26"/>
    <row r="865" ht="14.25" customHeight="1" s="26"/>
    <row r="866" ht="14.25" customHeight="1" s="26"/>
    <row r="867" ht="14.25" customHeight="1" s="26"/>
    <row r="868" ht="14.25" customHeight="1" s="26"/>
    <row r="869" ht="14.25" customHeight="1" s="26"/>
    <row r="870" ht="14.25" customHeight="1" s="26"/>
    <row r="871" ht="14.25" customHeight="1" s="26"/>
    <row r="872" ht="14.25" customHeight="1" s="26"/>
    <row r="873" ht="14.25" customHeight="1" s="26"/>
    <row r="874" ht="14.25" customHeight="1" s="26"/>
    <row r="875" ht="14.25" customHeight="1" s="26"/>
    <row r="876" ht="14.25" customHeight="1" s="26"/>
    <row r="877" ht="14.25" customHeight="1" s="26"/>
    <row r="878" ht="14.25" customHeight="1" s="26"/>
    <row r="879" ht="14.25" customHeight="1" s="26"/>
    <row r="880" ht="14.25" customHeight="1" s="26"/>
    <row r="881" ht="14.25" customHeight="1" s="26"/>
    <row r="882" ht="14.25" customHeight="1" s="26"/>
    <row r="883" ht="14.25" customHeight="1" s="26"/>
    <row r="884" ht="14.25" customHeight="1" s="26"/>
    <row r="885" ht="14.25" customHeight="1" s="26"/>
    <row r="886" ht="14.25" customHeight="1" s="26"/>
    <row r="887" ht="14.25" customHeight="1" s="26"/>
    <row r="888" ht="14.25" customHeight="1" s="26"/>
    <row r="889" ht="14.25" customHeight="1" s="26"/>
    <row r="890" ht="14.25" customHeight="1" s="26"/>
    <row r="891" ht="14.25" customHeight="1" s="26"/>
    <row r="892" ht="14.25" customHeight="1" s="26"/>
    <row r="893" ht="14.25" customHeight="1" s="26"/>
    <row r="894" ht="14.25" customHeight="1" s="26"/>
    <row r="895" ht="14.25" customHeight="1" s="26"/>
    <row r="896" ht="14.25" customHeight="1" s="26"/>
    <row r="897" ht="14.25" customHeight="1" s="26"/>
    <row r="898" ht="14.25" customHeight="1" s="26"/>
    <row r="899" ht="14.25" customHeight="1" s="26"/>
    <row r="900" ht="14.25" customHeight="1" s="26"/>
    <row r="901" ht="14.25" customHeight="1" s="26"/>
    <row r="902" ht="14.25" customHeight="1" s="26"/>
    <row r="903" ht="14.25" customHeight="1" s="26"/>
    <row r="904" ht="14.25" customHeight="1" s="26"/>
    <row r="905" ht="14.25" customHeight="1" s="26"/>
    <row r="906" ht="14.25" customHeight="1" s="26"/>
    <row r="907" ht="14.25" customHeight="1" s="26"/>
    <row r="908" ht="14.25" customHeight="1" s="26"/>
    <row r="909" ht="14.25" customHeight="1" s="26"/>
    <row r="910" ht="14.25" customHeight="1" s="26"/>
    <row r="911" ht="14.25" customHeight="1" s="26"/>
    <row r="912" ht="14.25" customHeight="1" s="26"/>
    <row r="913" ht="14.25" customHeight="1" s="26"/>
    <row r="914" ht="14.25" customHeight="1" s="26"/>
    <row r="915" ht="14.25" customHeight="1" s="26"/>
    <row r="916" ht="14.25" customHeight="1" s="26"/>
    <row r="917" ht="14.25" customHeight="1" s="26"/>
    <row r="918" ht="14.25" customHeight="1" s="26"/>
    <row r="919" ht="14.25" customHeight="1" s="26"/>
    <row r="920" ht="14.25" customHeight="1" s="26"/>
    <row r="921" ht="14.25" customHeight="1" s="26"/>
    <row r="922" ht="14.25" customHeight="1" s="26"/>
    <row r="923" ht="14.25" customHeight="1" s="26"/>
    <row r="924" ht="14.25" customHeight="1" s="26"/>
    <row r="925" ht="14.25" customHeight="1" s="26"/>
    <row r="926" ht="14.25" customHeight="1" s="26"/>
    <row r="927" ht="14.25" customHeight="1" s="26"/>
    <row r="928" ht="14.25" customHeight="1" s="26"/>
    <row r="929" ht="14.25" customHeight="1" s="26"/>
    <row r="930" ht="14.25" customHeight="1" s="26"/>
    <row r="931" ht="14.25" customHeight="1" s="26"/>
    <row r="932" ht="14.25" customHeight="1" s="26"/>
    <row r="933" ht="14.25" customHeight="1" s="26"/>
    <row r="934" ht="14.25" customHeight="1" s="26"/>
    <row r="935" ht="14.25" customHeight="1" s="26"/>
    <row r="936" ht="14.25" customHeight="1" s="26"/>
    <row r="937" ht="14.25" customHeight="1" s="26"/>
    <row r="938" ht="14.25" customHeight="1" s="26"/>
    <row r="939" ht="14.25" customHeight="1" s="26"/>
    <row r="940" ht="14.25" customHeight="1" s="26"/>
    <row r="941" ht="14.25" customHeight="1" s="26"/>
    <row r="942" ht="14.25" customHeight="1" s="26"/>
    <row r="943" ht="14.25" customHeight="1" s="26"/>
    <row r="944" ht="14.25" customHeight="1" s="26"/>
    <row r="945" ht="14.25" customHeight="1" s="26"/>
    <row r="946" ht="14.25" customHeight="1" s="26"/>
    <row r="947" ht="14.25" customHeight="1" s="26"/>
    <row r="948" ht="14.25" customHeight="1" s="26"/>
    <row r="949" ht="14.25" customHeight="1" s="26"/>
    <row r="950" ht="14.25" customHeight="1" s="26"/>
    <row r="951" ht="14.25" customHeight="1" s="26"/>
    <row r="952" ht="14.25" customHeight="1" s="26"/>
    <row r="953" ht="14.25" customHeight="1" s="26"/>
    <row r="954" ht="14.25" customHeight="1" s="26"/>
    <row r="955" ht="14.25" customHeight="1" s="26"/>
    <row r="956" ht="14.25" customHeight="1" s="26"/>
    <row r="957" ht="14.25" customHeight="1" s="26"/>
    <row r="958" ht="14.25" customHeight="1" s="26"/>
    <row r="959" ht="14.25" customHeight="1" s="26"/>
    <row r="960" ht="14.25" customHeight="1" s="26"/>
    <row r="961" ht="14.25" customHeight="1" s="26"/>
    <row r="962" ht="14.25" customHeight="1" s="26"/>
    <row r="963" ht="14.25" customHeight="1" s="26"/>
    <row r="964" ht="14.25" customHeight="1" s="26"/>
    <row r="965" ht="14.25" customHeight="1" s="26"/>
    <row r="966" ht="14.25" customHeight="1" s="26"/>
    <row r="967" ht="14.25" customHeight="1" s="26"/>
    <row r="968" ht="14.25" customHeight="1" s="26"/>
    <row r="969" ht="14.25" customHeight="1" s="26"/>
    <row r="970" ht="14.25" customHeight="1" s="26"/>
    <row r="971" ht="14.25" customHeight="1" s="26"/>
    <row r="972" ht="14.25" customHeight="1" s="26"/>
    <row r="973" ht="14.25" customHeight="1" s="26"/>
    <row r="974" ht="14.25" customHeight="1" s="26"/>
    <row r="975" ht="14.25" customHeight="1" s="26"/>
    <row r="976" ht="14.25" customHeight="1" s="26"/>
    <row r="977" ht="14.25" customHeight="1" s="26"/>
    <row r="978" ht="14.25" customHeight="1" s="26"/>
    <row r="979" ht="14.25" customHeight="1" s="26"/>
    <row r="980" ht="14.25" customHeight="1" s="26"/>
    <row r="981" ht="14.25" customHeight="1" s="26"/>
    <row r="982" ht="14.25" customHeight="1" s="26"/>
    <row r="983" ht="14.25" customHeight="1" s="26"/>
    <row r="984" ht="14.25" customHeight="1" s="26"/>
    <row r="985" ht="14.25" customHeight="1" s="26"/>
    <row r="986" ht="14.25" customHeight="1" s="26"/>
    <row r="987" ht="14.25" customHeight="1" s="26"/>
    <row r="988" ht="14.25" customHeight="1" s="26"/>
    <row r="989" ht="14.25" customHeight="1" s="26"/>
    <row r="990" ht="14.25" customHeight="1" s="26"/>
    <row r="991" ht="14.25" customHeight="1" s="26"/>
    <row r="992" ht="14.25" customHeight="1" s="26"/>
    <row r="993" ht="14.25" customHeight="1" s="26"/>
    <row r="994" ht="14.25" customHeight="1" s="26"/>
    <row r="995" ht="14.25" customHeight="1" s="26"/>
    <row r="996" ht="14.25" customHeight="1" s="26"/>
    <row r="997" ht="14.25" customHeight="1" s="26"/>
    <row r="998" ht="14.25" customHeight="1" s="26"/>
    <row r="999" ht="14.25" customHeight="1" s="26"/>
    <row r="1000" ht="14.25" customHeight="1" s="26"/>
  </sheetData>
  <mergeCells count="1">
    <mergeCell ref="C1:F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ColWidth="12.63" defaultRowHeight="15" customHeight="1"/>
  <cols>
    <col width="12" customWidth="1" style="26" min="1" max="1"/>
    <col width="17.5" customWidth="1" style="26" min="2" max="2"/>
    <col width="20.13" customWidth="1" style="26" min="3" max="3"/>
    <col width="20.5" customWidth="1" style="26" min="4" max="4"/>
    <col width="12.13" customWidth="1" style="26" min="5" max="5"/>
    <col width="12" customWidth="1" style="26" min="6" max="6"/>
    <col width="8.630000000000001" customWidth="1" style="26" min="7" max="26"/>
  </cols>
  <sheetData>
    <row r="1" ht="14.25" customHeight="1" s="26">
      <c r="A1" s="9" t="inlineStr">
        <is>
          <t>Location</t>
        </is>
      </c>
      <c r="B1" s="9" t="inlineStr">
        <is>
          <t>X-coordinate (Xi)</t>
        </is>
      </c>
      <c r="C1" s="9" t="inlineStr">
        <is>
          <t>Y-coordinate (Yi)</t>
        </is>
      </c>
      <c r="D1" s="9" t="inlineStr">
        <is>
          <t>Monthly Demand (Wi)</t>
        </is>
      </c>
      <c r="E1" s="9" t="inlineStr">
        <is>
          <t>Weighted X</t>
        </is>
      </c>
      <c r="F1" s="9" t="inlineStr">
        <is>
          <t>Weighted Y</t>
        </is>
      </c>
    </row>
    <row r="2" ht="14.25" customHeight="1" s="26">
      <c r="A2" s="8" t="inlineStr">
        <is>
          <t>Bengaluru</t>
        </is>
      </c>
      <c r="B2" s="10" t="n">
        <v>150</v>
      </c>
      <c r="C2" s="10" t="n">
        <v>200</v>
      </c>
      <c r="D2" s="10" t="n">
        <v>1200</v>
      </c>
      <c r="E2" s="11">
        <f>D2*B2</f>
        <v/>
      </c>
      <c r="F2" s="10">
        <f>D2*C2</f>
        <v/>
      </c>
    </row>
    <row r="3" ht="14.25" customHeight="1" s="26">
      <c r="A3" s="8" t="inlineStr">
        <is>
          <t>Mysore</t>
        </is>
      </c>
      <c r="B3" s="10" t="n">
        <v>100</v>
      </c>
      <c r="C3" s="10" t="n">
        <v>150</v>
      </c>
      <c r="D3" s="10" t="n">
        <v>450</v>
      </c>
      <c r="E3" s="10">
        <f>D3*B3</f>
        <v/>
      </c>
      <c r="F3" s="10">
        <f>D3*C3</f>
        <v/>
      </c>
    </row>
    <row r="4" ht="14.25" customHeight="1" s="26">
      <c r="A4" s="8" t="inlineStr">
        <is>
          <t>Chennai</t>
        </is>
      </c>
      <c r="B4" s="10" t="n">
        <v>450</v>
      </c>
      <c r="C4" s="10" t="n">
        <v>220</v>
      </c>
      <c r="D4" s="10" t="n">
        <v>1500</v>
      </c>
      <c r="E4" s="10">
        <f>D4*B4</f>
        <v/>
      </c>
      <c r="F4" s="10">
        <f>D4*C4</f>
        <v/>
      </c>
    </row>
    <row r="5" ht="14.25" customHeight="1" s="26">
      <c r="A5" s="8" t="inlineStr">
        <is>
          <t>Coimbatore</t>
        </is>
      </c>
      <c r="B5" s="10" t="n">
        <v>200</v>
      </c>
      <c r="C5" s="10" t="n">
        <v>80</v>
      </c>
      <c r="D5" s="10" t="n">
        <v>800</v>
      </c>
      <c r="E5" s="10">
        <f>D5*B5</f>
        <v/>
      </c>
      <c r="F5" s="10">
        <f>D5*C5</f>
        <v/>
      </c>
    </row>
    <row r="6" ht="14.25" customHeight="1" s="26">
      <c r="A6" s="8" t="inlineStr">
        <is>
          <t>Tirupati</t>
        </is>
      </c>
      <c r="B6" s="10" t="n">
        <v>380</v>
      </c>
      <c r="C6" s="10" t="n">
        <v>260</v>
      </c>
      <c r="D6" s="10" t="n">
        <v>600</v>
      </c>
      <c r="E6" s="10">
        <f>D6*B6</f>
        <v/>
      </c>
      <c r="F6" s="10">
        <f>D6*C6</f>
        <v/>
      </c>
    </row>
    <row r="7" ht="14.25" customHeight="1" s="26"/>
    <row r="8" ht="14.25" customHeight="1" s="26">
      <c r="C8" s="9" t="inlineStr">
        <is>
          <t>Total Monthly Demand</t>
        </is>
      </c>
      <c r="D8" s="10">
        <f>SUM(D2:D6)</f>
        <v/>
      </c>
    </row>
    <row r="9" ht="14.25" customHeight="1" s="26">
      <c r="C9" s="9" t="inlineStr">
        <is>
          <t>Total Weighted X</t>
        </is>
      </c>
      <c r="D9" s="10">
        <f>SUM(E2:E6)</f>
        <v/>
      </c>
    </row>
    <row r="10" ht="14.25" customHeight="1" s="26">
      <c r="C10" s="9" t="inlineStr">
        <is>
          <t>Total Weighted Y</t>
        </is>
      </c>
      <c r="D10" s="10">
        <f>SUM(F2:F6)</f>
        <v/>
      </c>
    </row>
    <row r="11" ht="14.25" customHeight="1" s="26"/>
    <row r="12" ht="14.25" customHeight="1" s="26">
      <c r="C12" s="14" t="inlineStr">
        <is>
          <t>Coordinates of New Facility Location</t>
        </is>
      </c>
    </row>
    <row r="13" ht="14.25" customHeight="1" s="26">
      <c r="C13" s="8" t="inlineStr">
        <is>
          <t>X-coordinate</t>
        </is>
      </c>
      <c r="D13" s="10">
        <f>D9/D8</f>
        <v/>
      </c>
    </row>
    <row r="14" ht="14.25" customHeight="1" s="26">
      <c r="C14" s="8" t="inlineStr">
        <is>
          <t>Y-coordinate</t>
        </is>
      </c>
      <c r="D14" s="10">
        <f>D10/D8</f>
        <v/>
      </c>
    </row>
    <row r="15" ht="14.25" customHeight="1" s="26"/>
    <row r="16" ht="14.25" customHeight="1" s="26"/>
    <row r="17" ht="14.25" customHeight="1" s="26"/>
    <row r="18" ht="14.25" customHeight="1" s="26"/>
    <row r="19" ht="14.25" customHeight="1" s="26"/>
    <row r="20" ht="14.25" customHeight="1" s="26"/>
    <row r="21" ht="14.25" customHeight="1" s="26"/>
    <row r="22" ht="14.25" customHeight="1" s="26"/>
    <row r="23" ht="14.25" customHeight="1" s="26"/>
    <row r="24" ht="14.25" customHeight="1" s="26"/>
    <row r="25" ht="14.25" customHeight="1" s="26"/>
    <row r="26" ht="14.25" customHeight="1" s="26"/>
    <row r="27" ht="14.25" customHeight="1" s="26"/>
    <row r="28" ht="14.25" customHeight="1" s="26"/>
    <row r="29" ht="14.25" customHeight="1" s="26"/>
    <row r="30" ht="14.25" customHeight="1" s="26"/>
    <row r="31" ht="14.25" customHeight="1" s="26"/>
    <row r="32" ht="14.25" customHeight="1" s="26"/>
    <row r="33" ht="14.25" customHeight="1" s="26"/>
    <row r="34" ht="14.25" customHeight="1" s="26"/>
    <row r="35" ht="14.25" customHeight="1" s="26"/>
    <row r="36" ht="14.25" customHeight="1" s="26"/>
    <row r="37" ht="14.25" customHeight="1" s="26"/>
    <row r="38" ht="14.25" customHeight="1" s="26"/>
    <row r="39" ht="14.25" customHeight="1" s="26"/>
    <row r="40" ht="14.25" customHeight="1" s="26"/>
    <row r="41" ht="14.25" customHeight="1" s="26"/>
    <row r="42" ht="14.25" customHeight="1" s="26"/>
    <row r="43" ht="14.25" customHeight="1" s="26"/>
    <row r="44" ht="14.25" customHeight="1" s="26"/>
    <row r="45" ht="14.25" customHeight="1" s="26"/>
    <row r="46" ht="14.25" customHeight="1" s="26"/>
    <row r="47" ht="14.25" customHeight="1" s="26"/>
    <row r="48" ht="14.25" customHeight="1" s="26"/>
    <row r="49" ht="14.25" customHeight="1" s="26"/>
    <row r="50" ht="14.25" customHeight="1" s="26"/>
    <row r="51" ht="14.25" customHeight="1" s="26"/>
    <row r="52" ht="14.25" customHeight="1" s="26"/>
    <row r="53" ht="14.25" customHeight="1" s="26"/>
    <row r="54" ht="14.25" customHeight="1" s="26"/>
    <row r="55" ht="14.25" customHeight="1" s="26"/>
    <row r="56" ht="14.25" customHeight="1" s="26"/>
    <row r="57" ht="14.25" customHeight="1" s="26"/>
    <row r="58" ht="14.25" customHeight="1" s="26"/>
    <row r="59" ht="14.25" customHeight="1" s="26"/>
    <row r="60" ht="14.25" customHeight="1" s="26"/>
    <row r="61" ht="14.25" customHeight="1" s="26"/>
    <row r="62" ht="14.25" customHeight="1" s="26"/>
    <row r="63" ht="14.25" customHeight="1" s="26"/>
    <row r="64" ht="14.25" customHeight="1" s="26"/>
    <row r="65" ht="14.25" customHeight="1" s="26"/>
    <row r="66" ht="14.25" customHeight="1" s="26"/>
    <row r="67" ht="14.25" customHeight="1" s="26"/>
    <row r="68" ht="14.25" customHeight="1" s="26"/>
    <row r="69" ht="14.25" customHeight="1" s="26"/>
    <row r="70" ht="14.25" customHeight="1" s="26"/>
    <row r="71" ht="14.25" customHeight="1" s="26"/>
    <row r="72" ht="14.25" customHeight="1" s="26"/>
    <row r="73" ht="14.25" customHeight="1" s="26"/>
    <row r="74" ht="14.25" customHeight="1" s="26"/>
    <row r="75" ht="14.25" customHeight="1" s="26"/>
    <row r="76" ht="14.25" customHeight="1" s="26"/>
    <row r="77" ht="14.25" customHeight="1" s="26"/>
    <row r="78" ht="14.25" customHeight="1" s="26"/>
    <row r="79" ht="14.25" customHeight="1" s="26"/>
    <row r="80" ht="14.25" customHeight="1" s="26"/>
    <row r="81" ht="14.25" customHeight="1" s="26"/>
    <row r="82" ht="14.25" customHeight="1" s="26"/>
    <row r="83" ht="14.25" customHeight="1" s="26"/>
    <row r="84" ht="14.25" customHeight="1" s="26"/>
    <row r="85" ht="14.25" customHeight="1" s="26"/>
    <row r="86" ht="14.25" customHeight="1" s="26"/>
    <row r="87" ht="14.25" customHeight="1" s="26"/>
    <row r="88" ht="14.25" customHeight="1" s="26"/>
    <row r="89" ht="14.25" customHeight="1" s="26"/>
    <row r="90" ht="14.25" customHeight="1" s="26"/>
    <row r="91" ht="14.25" customHeight="1" s="26"/>
    <row r="92" ht="14.25" customHeight="1" s="26"/>
    <row r="93" ht="14.25" customHeight="1" s="26"/>
    <row r="94" ht="14.25" customHeight="1" s="26"/>
    <row r="95" ht="14.25" customHeight="1" s="26"/>
    <row r="96" ht="14.25" customHeight="1" s="26"/>
    <row r="97" ht="14.25" customHeight="1" s="26"/>
    <row r="98" ht="14.25" customHeight="1" s="26"/>
    <row r="99" ht="14.25" customHeight="1" s="26"/>
    <row r="100" ht="14.25" customHeight="1" s="26"/>
    <row r="101" ht="14.25" customHeight="1" s="26"/>
    <row r="102" ht="14.25" customHeight="1" s="26"/>
    <row r="103" ht="14.25" customHeight="1" s="26"/>
    <row r="104" ht="14.25" customHeight="1" s="26"/>
    <row r="105" ht="14.25" customHeight="1" s="26"/>
    <row r="106" ht="14.25" customHeight="1" s="26"/>
    <row r="107" ht="14.25" customHeight="1" s="26"/>
    <row r="108" ht="14.25" customHeight="1" s="26"/>
    <row r="109" ht="14.25" customHeight="1" s="26"/>
    <row r="110" ht="14.25" customHeight="1" s="26"/>
    <row r="111" ht="14.25" customHeight="1" s="26"/>
    <row r="112" ht="14.25" customHeight="1" s="26"/>
    <row r="113" ht="14.25" customHeight="1" s="26"/>
    <row r="114" ht="14.25" customHeight="1" s="26"/>
    <row r="115" ht="14.25" customHeight="1" s="26"/>
    <row r="116" ht="14.25" customHeight="1" s="26"/>
    <row r="117" ht="14.25" customHeight="1" s="26"/>
    <row r="118" ht="14.25" customHeight="1" s="26"/>
    <row r="119" ht="14.25" customHeight="1" s="26"/>
    <row r="120" ht="14.25" customHeight="1" s="26"/>
    <row r="121" ht="14.25" customHeight="1" s="26"/>
    <row r="122" ht="14.25" customHeight="1" s="26"/>
    <row r="123" ht="14.25" customHeight="1" s="26"/>
    <row r="124" ht="14.25" customHeight="1" s="26"/>
    <row r="125" ht="14.25" customHeight="1" s="26"/>
    <row r="126" ht="14.25" customHeight="1" s="26"/>
    <row r="127" ht="14.25" customHeight="1" s="26"/>
    <row r="128" ht="14.25" customHeight="1" s="26"/>
    <row r="129" ht="14.25" customHeight="1" s="26"/>
    <row r="130" ht="14.25" customHeight="1" s="26"/>
    <row r="131" ht="14.25" customHeight="1" s="26"/>
    <row r="132" ht="14.25" customHeight="1" s="26"/>
    <row r="133" ht="14.25" customHeight="1" s="26"/>
    <row r="134" ht="14.25" customHeight="1" s="26"/>
    <row r="135" ht="14.25" customHeight="1" s="26"/>
    <row r="136" ht="14.25" customHeight="1" s="26"/>
    <row r="137" ht="14.25" customHeight="1" s="26"/>
    <row r="138" ht="14.25" customHeight="1" s="26"/>
    <row r="139" ht="14.25" customHeight="1" s="26"/>
    <row r="140" ht="14.25" customHeight="1" s="26"/>
    <row r="141" ht="14.25" customHeight="1" s="26"/>
    <row r="142" ht="14.25" customHeight="1" s="26"/>
    <row r="143" ht="14.25" customHeight="1" s="26"/>
    <row r="144" ht="14.25" customHeight="1" s="26"/>
    <row r="145" ht="14.25" customHeight="1" s="26"/>
    <row r="146" ht="14.25" customHeight="1" s="26"/>
    <row r="147" ht="14.25" customHeight="1" s="26"/>
    <row r="148" ht="14.25" customHeight="1" s="26"/>
    <row r="149" ht="14.25" customHeight="1" s="26"/>
    <row r="150" ht="14.25" customHeight="1" s="26"/>
    <row r="151" ht="14.25" customHeight="1" s="26"/>
    <row r="152" ht="14.25" customHeight="1" s="26"/>
    <row r="153" ht="14.25" customHeight="1" s="26"/>
    <row r="154" ht="14.25" customHeight="1" s="26"/>
    <row r="155" ht="14.25" customHeight="1" s="26"/>
    <row r="156" ht="14.25" customHeight="1" s="26"/>
    <row r="157" ht="14.25" customHeight="1" s="26"/>
    <row r="158" ht="14.25" customHeight="1" s="26"/>
    <row r="159" ht="14.25" customHeight="1" s="26"/>
    <row r="160" ht="14.25" customHeight="1" s="26"/>
    <row r="161" ht="14.25" customHeight="1" s="26"/>
    <row r="162" ht="14.25" customHeight="1" s="26"/>
    <row r="163" ht="14.25" customHeight="1" s="26"/>
    <row r="164" ht="14.25" customHeight="1" s="26"/>
    <row r="165" ht="14.25" customHeight="1" s="26"/>
    <row r="166" ht="14.25" customHeight="1" s="26"/>
    <row r="167" ht="14.25" customHeight="1" s="26"/>
    <row r="168" ht="14.25" customHeight="1" s="26"/>
    <row r="169" ht="14.25" customHeight="1" s="26"/>
    <row r="170" ht="14.25" customHeight="1" s="26"/>
    <row r="171" ht="14.25" customHeight="1" s="26"/>
    <row r="172" ht="14.25" customHeight="1" s="26"/>
    <row r="173" ht="14.25" customHeight="1" s="26"/>
    <row r="174" ht="14.25" customHeight="1" s="26"/>
    <row r="175" ht="14.25" customHeight="1" s="26"/>
    <row r="176" ht="14.25" customHeight="1" s="26"/>
    <row r="177" ht="14.25" customHeight="1" s="26"/>
    <row r="178" ht="14.25" customHeight="1" s="26"/>
    <row r="179" ht="14.25" customHeight="1" s="26"/>
    <row r="180" ht="14.25" customHeight="1" s="26"/>
    <row r="181" ht="14.25" customHeight="1" s="26"/>
    <row r="182" ht="14.25" customHeight="1" s="26"/>
    <row r="183" ht="14.25" customHeight="1" s="26"/>
    <row r="184" ht="14.25" customHeight="1" s="26"/>
    <row r="185" ht="14.25" customHeight="1" s="26"/>
    <row r="186" ht="14.25" customHeight="1" s="26"/>
    <row r="187" ht="14.25" customHeight="1" s="26"/>
    <row r="188" ht="14.25" customHeight="1" s="26"/>
    <row r="189" ht="14.25" customHeight="1" s="26"/>
    <row r="190" ht="14.25" customHeight="1" s="26"/>
    <row r="191" ht="14.25" customHeight="1" s="26"/>
    <row r="192" ht="14.25" customHeight="1" s="26"/>
    <row r="193" ht="14.25" customHeight="1" s="26"/>
    <row r="194" ht="14.25" customHeight="1" s="26"/>
    <row r="195" ht="14.25" customHeight="1" s="26"/>
    <row r="196" ht="14.25" customHeight="1" s="26"/>
    <row r="197" ht="14.25" customHeight="1" s="26"/>
    <row r="198" ht="14.25" customHeight="1" s="26"/>
    <row r="199" ht="14.25" customHeight="1" s="26"/>
    <row r="200" ht="14.25" customHeight="1" s="26"/>
    <row r="201" ht="14.25" customHeight="1" s="26"/>
    <row r="202" ht="14.25" customHeight="1" s="26"/>
    <row r="203" ht="14.25" customHeight="1" s="26"/>
    <row r="204" ht="14.25" customHeight="1" s="26"/>
    <row r="205" ht="14.25" customHeight="1" s="26"/>
    <row r="206" ht="14.25" customHeight="1" s="26"/>
    <row r="207" ht="14.25" customHeight="1" s="26"/>
    <row r="208" ht="14.25" customHeight="1" s="26"/>
    <row r="209" ht="14.25" customHeight="1" s="26"/>
    <row r="210" ht="14.25" customHeight="1" s="26"/>
    <row r="211" ht="14.25" customHeight="1" s="26"/>
    <row r="212" ht="14.25" customHeight="1" s="26"/>
    <row r="213" ht="14.25" customHeight="1" s="26"/>
    <row r="214" ht="14.25" customHeight="1" s="26"/>
    <row r="215" ht="14.25" customHeight="1" s="26"/>
    <row r="216" ht="14.25" customHeight="1" s="26"/>
    <row r="217" ht="14.25" customHeight="1" s="26"/>
    <row r="218" ht="14.25" customHeight="1" s="26"/>
    <row r="219" ht="14.25" customHeight="1" s="26"/>
    <row r="220" ht="14.25" customHeight="1" s="26"/>
    <row r="221" ht="14.25" customHeight="1" s="26"/>
    <row r="222" ht="14.25" customHeight="1" s="26"/>
    <row r="223" ht="14.25" customHeight="1" s="26"/>
    <row r="224" ht="14.25" customHeight="1" s="26"/>
    <row r="225" ht="14.25" customHeight="1" s="26"/>
    <row r="226" ht="14.25" customHeight="1" s="26"/>
    <row r="227" ht="14.25" customHeight="1" s="26"/>
    <row r="228" ht="14.25" customHeight="1" s="26"/>
    <row r="229" ht="14.25" customHeight="1" s="26"/>
    <row r="230" ht="14.25" customHeight="1" s="26"/>
    <row r="231" ht="14.25" customHeight="1" s="26"/>
    <row r="232" ht="14.25" customHeight="1" s="26"/>
    <row r="233" ht="14.25" customHeight="1" s="26"/>
    <row r="234" ht="14.25" customHeight="1" s="26"/>
    <row r="235" ht="14.25" customHeight="1" s="26"/>
    <row r="236" ht="14.25" customHeight="1" s="26"/>
    <row r="237" ht="14.25" customHeight="1" s="26"/>
    <row r="238" ht="14.25" customHeight="1" s="26"/>
    <row r="239" ht="14.25" customHeight="1" s="26"/>
    <row r="240" ht="14.25" customHeight="1" s="26"/>
    <row r="241" ht="14.25" customHeight="1" s="26"/>
    <row r="242" ht="14.25" customHeight="1" s="26"/>
    <row r="243" ht="14.25" customHeight="1" s="26"/>
    <row r="244" ht="14.25" customHeight="1" s="26"/>
    <row r="245" ht="14.25" customHeight="1" s="26"/>
    <row r="246" ht="14.25" customHeight="1" s="26"/>
    <row r="247" ht="14.25" customHeight="1" s="26"/>
    <row r="248" ht="14.25" customHeight="1" s="26"/>
    <row r="249" ht="14.25" customHeight="1" s="26"/>
    <row r="250" ht="14.25" customHeight="1" s="26"/>
    <row r="251" ht="14.25" customHeight="1" s="26"/>
    <row r="252" ht="14.25" customHeight="1" s="26"/>
    <row r="253" ht="14.25" customHeight="1" s="26"/>
    <row r="254" ht="14.25" customHeight="1" s="26"/>
    <row r="255" ht="14.25" customHeight="1" s="26"/>
    <row r="256" ht="14.25" customHeight="1" s="26"/>
    <row r="257" ht="14.25" customHeight="1" s="26"/>
    <row r="258" ht="14.25" customHeight="1" s="26"/>
    <row r="259" ht="14.25" customHeight="1" s="26"/>
    <row r="260" ht="14.25" customHeight="1" s="26"/>
    <row r="261" ht="14.25" customHeight="1" s="26"/>
    <row r="262" ht="14.25" customHeight="1" s="26"/>
    <row r="263" ht="14.25" customHeight="1" s="26"/>
    <row r="264" ht="14.25" customHeight="1" s="26"/>
    <row r="265" ht="14.25" customHeight="1" s="26"/>
    <row r="266" ht="14.25" customHeight="1" s="26"/>
    <row r="267" ht="14.25" customHeight="1" s="26"/>
    <row r="268" ht="14.25" customHeight="1" s="26"/>
    <row r="269" ht="14.25" customHeight="1" s="26"/>
    <row r="270" ht="14.25" customHeight="1" s="26"/>
    <row r="271" ht="14.25" customHeight="1" s="26"/>
    <row r="272" ht="14.25" customHeight="1" s="26"/>
    <row r="273" ht="14.25" customHeight="1" s="26"/>
    <row r="274" ht="14.25" customHeight="1" s="26"/>
    <row r="275" ht="14.25" customHeight="1" s="26"/>
    <row r="276" ht="14.25" customHeight="1" s="26"/>
    <row r="277" ht="14.25" customHeight="1" s="26"/>
    <row r="278" ht="14.25" customHeight="1" s="26"/>
    <row r="279" ht="14.25" customHeight="1" s="26"/>
    <row r="280" ht="14.25" customHeight="1" s="26"/>
    <row r="281" ht="14.25" customHeight="1" s="26"/>
    <row r="282" ht="14.25" customHeight="1" s="26"/>
    <row r="283" ht="14.25" customHeight="1" s="26"/>
    <row r="284" ht="14.25" customHeight="1" s="26"/>
    <row r="285" ht="14.25" customHeight="1" s="26"/>
    <row r="286" ht="14.25" customHeight="1" s="26"/>
    <row r="287" ht="14.25" customHeight="1" s="26"/>
    <row r="288" ht="14.25" customHeight="1" s="26"/>
    <row r="289" ht="14.25" customHeight="1" s="26"/>
    <row r="290" ht="14.25" customHeight="1" s="26"/>
    <row r="291" ht="14.25" customHeight="1" s="26"/>
    <row r="292" ht="14.25" customHeight="1" s="26"/>
    <row r="293" ht="14.25" customHeight="1" s="26"/>
    <row r="294" ht="14.25" customHeight="1" s="26"/>
    <row r="295" ht="14.25" customHeight="1" s="26"/>
    <row r="296" ht="14.25" customHeight="1" s="26"/>
    <row r="297" ht="14.25" customHeight="1" s="26"/>
    <row r="298" ht="14.25" customHeight="1" s="26"/>
    <row r="299" ht="14.25" customHeight="1" s="26"/>
    <row r="300" ht="14.25" customHeight="1" s="26"/>
    <row r="301" ht="14.25" customHeight="1" s="26"/>
    <row r="302" ht="14.25" customHeight="1" s="26"/>
    <row r="303" ht="14.25" customHeight="1" s="26"/>
    <row r="304" ht="14.25" customHeight="1" s="26"/>
    <row r="305" ht="14.25" customHeight="1" s="26"/>
    <row r="306" ht="14.25" customHeight="1" s="26"/>
    <row r="307" ht="14.25" customHeight="1" s="26"/>
    <row r="308" ht="14.25" customHeight="1" s="26"/>
    <row r="309" ht="14.25" customHeight="1" s="26"/>
    <row r="310" ht="14.25" customHeight="1" s="26"/>
    <row r="311" ht="14.25" customHeight="1" s="26"/>
    <row r="312" ht="14.25" customHeight="1" s="26"/>
    <row r="313" ht="14.25" customHeight="1" s="26"/>
    <row r="314" ht="14.25" customHeight="1" s="26"/>
    <row r="315" ht="14.25" customHeight="1" s="26"/>
    <row r="316" ht="14.25" customHeight="1" s="26"/>
    <row r="317" ht="14.25" customHeight="1" s="26"/>
    <row r="318" ht="14.25" customHeight="1" s="26"/>
    <row r="319" ht="14.25" customHeight="1" s="26"/>
    <row r="320" ht="14.25" customHeight="1" s="26"/>
    <row r="321" ht="14.25" customHeight="1" s="26"/>
    <row r="322" ht="14.25" customHeight="1" s="26"/>
    <row r="323" ht="14.25" customHeight="1" s="26"/>
    <row r="324" ht="14.25" customHeight="1" s="26"/>
    <row r="325" ht="14.25" customHeight="1" s="26"/>
    <row r="326" ht="14.25" customHeight="1" s="26"/>
    <row r="327" ht="14.25" customHeight="1" s="26"/>
    <row r="328" ht="14.25" customHeight="1" s="26"/>
    <row r="329" ht="14.25" customHeight="1" s="26"/>
    <row r="330" ht="14.25" customHeight="1" s="26"/>
    <row r="331" ht="14.25" customHeight="1" s="26"/>
    <row r="332" ht="14.25" customHeight="1" s="26"/>
    <row r="333" ht="14.25" customHeight="1" s="26"/>
    <row r="334" ht="14.25" customHeight="1" s="26"/>
    <row r="335" ht="14.25" customHeight="1" s="26"/>
    <row r="336" ht="14.25" customHeight="1" s="26"/>
    <row r="337" ht="14.25" customHeight="1" s="26"/>
    <row r="338" ht="14.25" customHeight="1" s="26"/>
    <row r="339" ht="14.25" customHeight="1" s="26"/>
    <row r="340" ht="14.25" customHeight="1" s="26"/>
    <row r="341" ht="14.25" customHeight="1" s="26"/>
    <row r="342" ht="14.25" customHeight="1" s="26"/>
    <row r="343" ht="14.25" customHeight="1" s="26"/>
    <row r="344" ht="14.25" customHeight="1" s="26"/>
    <row r="345" ht="14.25" customHeight="1" s="26"/>
    <row r="346" ht="14.25" customHeight="1" s="26"/>
    <row r="347" ht="14.25" customHeight="1" s="26"/>
    <row r="348" ht="14.25" customHeight="1" s="26"/>
    <row r="349" ht="14.25" customHeight="1" s="26"/>
    <row r="350" ht="14.25" customHeight="1" s="26"/>
    <row r="351" ht="14.25" customHeight="1" s="26"/>
    <row r="352" ht="14.25" customHeight="1" s="26"/>
    <row r="353" ht="14.25" customHeight="1" s="26"/>
    <row r="354" ht="14.25" customHeight="1" s="26"/>
    <row r="355" ht="14.25" customHeight="1" s="26"/>
    <row r="356" ht="14.25" customHeight="1" s="26"/>
    <row r="357" ht="14.25" customHeight="1" s="26"/>
    <row r="358" ht="14.25" customHeight="1" s="26"/>
    <row r="359" ht="14.25" customHeight="1" s="26"/>
    <row r="360" ht="14.25" customHeight="1" s="26"/>
    <row r="361" ht="14.25" customHeight="1" s="26"/>
    <row r="362" ht="14.25" customHeight="1" s="26"/>
    <row r="363" ht="14.25" customHeight="1" s="26"/>
    <row r="364" ht="14.25" customHeight="1" s="26"/>
    <row r="365" ht="14.25" customHeight="1" s="26"/>
    <row r="366" ht="14.25" customHeight="1" s="26"/>
    <row r="367" ht="14.25" customHeight="1" s="26"/>
    <row r="368" ht="14.25" customHeight="1" s="26"/>
    <row r="369" ht="14.25" customHeight="1" s="26"/>
    <row r="370" ht="14.25" customHeight="1" s="26"/>
    <row r="371" ht="14.25" customHeight="1" s="26"/>
    <row r="372" ht="14.25" customHeight="1" s="26"/>
    <row r="373" ht="14.25" customHeight="1" s="26"/>
    <row r="374" ht="14.25" customHeight="1" s="26"/>
    <row r="375" ht="14.25" customHeight="1" s="26"/>
    <row r="376" ht="14.25" customHeight="1" s="26"/>
    <row r="377" ht="14.25" customHeight="1" s="26"/>
    <row r="378" ht="14.25" customHeight="1" s="26"/>
    <row r="379" ht="14.25" customHeight="1" s="26"/>
    <row r="380" ht="14.25" customHeight="1" s="26"/>
    <row r="381" ht="14.25" customHeight="1" s="26"/>
    <row r="382" ht="14.25" customHeight="1" s="26"/>
    <row r="383" ht="14.25" customHeight="1" s="26"/>
    <row r="384" ht="14.25" customHeight="1" s="26"/>
    <row r="385" ht="14.25" customHeight="1" s="26"/>
    <row r="386" ht="14.25" customHeight="1" s="26"/>
    <row r="387" ht="14.25" customHeight="1" s="26"/>
    <row r="388" ht="14.25" customHeight="1" s="26"/>
    <row r="389" ht="14.25" customHeight="1" s="26"/>
    <row r="390" ht="14.25" customHeight="1" s="26"/>
    <row r="391" ht="14.25" customHeight="1" s="26"/>
    <row r="392" ht="14.25" customHeight="1" s="26"/>
    <row r="393" ht="14.25" customHeight="1" s="26"/>
    <row r="394" ht="14.25" customHeight="1" s="26"/>
    <row r="395" ht="14.25" customHeight="1" s="26"/>
    <row r="396" ht="14.25" customHeight="1" s="26"/>
    <row r="397" ht="14.25" customHeight="1" s="26"/>
    <row r="398" ht="14.25" customHeight="1" s="26"/>
    <row r="399" ht="14.25" customHeight="1" s="26"/>
    <row r="400" ht="14.25" customHeight="1" s="26"/>
    <row r="401" ht="14.25" customHeight="1" s="26"/>
    <row r="402" ht="14.25" customHeight="1" s="26"/>
    <row r="403" ht="14.25" customHeight="1" s="26"/>
    <row r="404" ht="14.25" customHeight="1" s="26"/>
    <row r="405" ht="14.25" customHeight="1" s="26"/>
    <row r="406" ht="14.25" customHeight="1" s="26"/>
    <row r="407" ht="14.25" customHeight="1" s="26"/>
    <row r="408" ht="14.25" customHeight="1" s="26"/>
    <row r="409" ht="14.25" customHeight="1" s="26"/>
    <row r="410" ht="14.25" customHeight="1" s="26"/>
    <row r="411" ht="14.25" customHeight="1" s="26"/>
    <row r="412" ht="14.25" customHeight="1" s="26"/>
    <row r="413" ht="14.25" customHeight="1" s="26"/>
    <row r="414" ht="14.25" customHeight="1" s="26"/>
    <row r="415" ht="14.25" customHeight="1" s="26"/>
    <row r="416" ht="14.25" customHeight="1" s="26"/>
    <row r="417" ht="14.25" customHeight="1" s="26"/>
    <row r="418" ht="14.25" customHeight="1" s="26"/>
    <row r="419" ht="14.25" customHeight="1" s="26"/>
    <row r="420" ht="14.25" customHeight="1" s="26"/>
    <row r="421" ht="14.25" customHeight="1" s="26"/>
    <row r="422" ht="14.25" customHeight="1" s="26"/>
    <row r="423" ht="14.25" customHeight="1" s="26"/>
    <row r="424" ht="14.25" customHeight="1" s="26"/>
    <row r="425" ht="14.25" customHeight="1" s="26"/>
    <row r="426" ht="14.25" customHeight="1" s="26"/>
    <row r="427" ht="14.25" customHeight="1" s="26"/>
    <row r="428" ht="14.25" customHeight="1" s="26"/>
    <row r="429" ht="14.25" customHeight="1" s="26"/>
    <row r="430" ht="14.25" customHeight="1" s="26"/>
    <row r="431" ht="14.25" customHeight="1" s="26"/>
    <row r="432" ht="14.25" customHeight="1" s="26"/>
    <row r="433" ht="14.25" customHeight="1" s="26"/>
    <row r="434" ht="14.25" customHeight="1" s="26"/>
    <row r="435" ht="14.25" customHeight="1" s="26"/>
    <row r="436" ht="14.25" customHeight="1" s="26"/>
    <row r="437" ht="14.25" customHeight="1" s="26"/>
    <row r="438" ht="14.25" customHeight="1" s="26"/>
    <row r="439" ht="14.25" customHeight="1" s="26"/>
    <row r="440" ht="14.25" customHeight="1" s="26"/>
    <row r="441" ht="14.25" customHeight="1" s="26"/>
    <row r="442" ht="14.25" customHeight="1" s="26"/>
    <row r="443" ht="14.25" customHeight="1" s="26"/>
    <row r="444" ht="14.25" customHeight="1" s="26"/>
    <row r="445" ht="14.25" customHeight="1" s="26"/>
    <row r="446" ht="14.25" customHeight="1" s="26"/>
    <row r="447" ht="14.25" customHeight="1" s="26"/>
    <row r="448" ht="14.25" customHeight="1" s="26"/>
    <row r="449" ht="14.25" customHeight="1" s="26"/>
    <row r="450" ht="14.25" customHeight="1" s="26"/>
    <row r="451" ht="14.25" customHeight="1" s="26"/>
    <row r="452" ht="14.25" customHeight="1" s="26"/>
    <row r="453" ht="14.25" customHeight="1" s="26"/>
    <row r="454" ht="14.25" customHeight="1" s="26"/>
    <row r="455" ht="14.25" customHeight="1" s="26"/>
    <row r="456" ht="14.25" customHeight="1" s="26"/>
    <row r="457" ht="14.25" customHeight="1" s="26"/>
    <row r="458" ht="14.25" customHeight="1" s="26"/>
    <row r="459" ht="14.25" customHeight="1" s="26"/>
    <row r="460" ht="14.25" customHeight="1" s="26"/>
    <row r="461" ht="14.25" customHeight="1" s="26"/>
    <row r="462" ht="14.25" customHeight="1" s="26"/>
    <row r="463" ht="14.25" customHeight="1" s="26"/>
    <row r="464" ht="14.25" customHeight="1" s="26"/>
    <row r="465" ht="14.25" customHeight="1" s="26"/>
    <row r="466" ht="14.25" customHeight="1" s="26"/>
    <row r="467" ht="14.25" customHeight="1" s="26"/>
    <row r="468" ht="14.25" customHeight="1" s="26"/>
    <row r="469" ht="14.25" customHeight="1" s="26"/>
    <row r="470" ht="14.25" customHeight="1" s="26"/>
    <row r="471" ht="14.25" customHeight="1" s="26"/>
    <row r="472" ht="14.25" customHeight="1" s="26"/>
    <row r="473" ht="14.25" customHeight="1" s="26"/>
    <row r="474" ht="14.25" customHeight="1" s="26"/>
    <row r="475" ht="14.25" customHeight="1" s="26"/>
    <row r="476" ht="14.25" customHeight="1" s="26"/>
    <row r="477" ht="14.25" customHeight="1" s="26"/>
    <row r="478" ht="14.25" customHeight="1" s="26"/>
    <row r="479" ht="14.25" customHeight="1" s="26"/>
    <row r="480" ht="14.25" customHeight="1" s="26"/>
    <row r="481" ht="14.25" customHeight="1" s="26"/>
    <row r="482" ht="14.25" customHeight="1" s="26"/>
    <row r="483" ht="14.25" customHeight="1" s="26"/>
    <row r="484" ht="14.25" customHeight="1" s="26"/>
    <row r="485" ht="14.25" customHeight="1" s="26"/>
    <row r="486" ht="14.25" customHeight="1" s="26"/>
    <row r="487" ht="14.25" customHeight="1" s="26"/>
    <row r="488" ht="14.25" customHeight="1" s="26"/>
    <row r="489" ht="14.25" customHeight="1" s="26"/>
    <row r="490" ht="14.25" customHeight="1" s="26"/>
    <row r="491" ht="14.25" customHeight="1" s="26"/>
    <row r="492" ht="14.25" customHeight="1" s="26"/>
    <row r="493" ht="14.25" customHeight="1" s="26"/>
    <row r="494" ht="14.25" customHeight="1" s="26"/>
    <row r="495" ht="14.25" customHeight="1" s="26"/>
    <row r="496" ht="14.25" customHeight="1" s="26"/>
    <row r="497" ht="14.25" customHeight="1" s="26"/>
    <row r="498" ht="14.25" customHeight="1" s="26"/>
    <row r="499" ht="14.25" customHeight="1" s="26"/>
    <row r="500" ht="14.25" customHeight="1" s="26"/>
    <row r="501" ht="14.25" customHeight="1" s="26"/>
    <row r="502" ht="14.25" customHeight="1" s="26"/>
    <row r="503" ht="14.25" customHeight="1" s="26"/>
    <row r="504" ht="14.25" customHeight="1" s="26"/>
    <row r="505" ht="14.25" customHeight="1" s="26"/>
    <row r="506" ht="14.25" customHeight="1" s="26"/>
    <row r="507" ht="14.25" customHeight="1" s="26"/>
    <row r="508" ht="14.25" customHeight="1" s="26"/>
    <row r="509" ht="14.25" customHeight="1" s="26"/>
    <row r="510" ht="14.25" customHeight="1" s="26"/>
    <row r="511" ht="14.25" customHeight="1" s="26"/>
    <row r="512" ht="14.25" customHeight="1" s="26"/>
    <row r="513" ht="14.25" customHeight="1" s="26"/>
    <row r="514" ht="14.25" customHeight="1" s="26"/>
    <row r="515" ht="14.25" customHeight="1" s="26"/>
    <row r="516" ht="14.25" customHeight="1" s="26"/>
    <row r="517" ht="14.25" customHeight="1" s="26"/>
    <row r="518" ht="14.25" customHeight="1" s="26"/>
    <row r="519" ht="14.25" customHeight="1" s="26"/>
    <row r="520" ht="14.25" customHeight="1" s="26"/>
    <row r="521" ht="14.25" customHeight="1" s="26"/>
    <row r="522" ht="14.25" customHeight="1" s="26"/>
    <row r="523" ht="14.25" customHeight="1" s="26"/>
    <row r="524" ht="14.25" customHeight="1" s="26"/>
    <row r="525" ht="14.25" customHeight="1" s="26"/>
    <row r="526" ht="14.25" customHeight="1" s="26"/>
    <row r="527" ht="14.25" customHeight="1" s="26"/>
    <row r="528" ht="14.25" customHeight="1" s="26"/>
    <row r="529" ht="14.25" customHeight="1" s="26"/>
    <row r="530" ht="14.25" customHeight="1" s="26"/>
    <row r="531" ht="14.25" customHeight="1" s="26"/>
    <row r="532" ht="14.25" customHeight="1" s="26"/>
    <row r="533" ht="14.25" customHeight="1" s="26"/>
    <row r="534" ht="14.25" customHeight="1" s="26"/>
    <row r="535" ht="14.25" customHeight="1" s="26"/>
    <row r="536" ht="14.25" customHeight="1" s="26"/>
    <row r="537" ht="14.25" customHeight="1" s="26"/>
    <row r="538" ht="14.25" customHeight="1" s="26"/>
    <row r="539" ht="14.25" customHeight="1" s="26"/>
    <row r="540" ht="14.25" customHeight="1" s="26"/>
    <row r="541" ht="14.25" customHeight="1" s="26"/>
    <row r="542" ht="14.25" customHeight="1" s="26"/>
    <row r="543" ht="14.25" customHeight="1" s="26"/>
    <row r="544" ht="14.25" customHeight="1" s="26"/>
    <row r="545" ht="14.25" customHeight="1" s="26"/>
    <row r="546" ht="14.25" customHeight="1" s="26"/>
    <row r="547" ht="14.25" customHeight="1" s="26"/>
    <row r="548" ht="14.25" customHeight="1" s="26"/>
    <row r="549" ht="14.25" customHeight="1" s="26"/>
    <row r="550" ht="14.25" customHeight="1" s="26"/>
    <row r="551" ht="14.25" customHeight="1" s="26"/>
    <row r="552" ht="14.25" customHeight="1" s="26"/>
    <row r="553" ht="14.25" customHeight="1" s="26"/>
    <row r="554" ht="14.25" customHeight="1" s="26"/>
    <row r="555" ht="14.25" customHeight="1" s="26"/>
    <row r="556" ht="14.25" customHeight="1" s="26"/>
    <row r="557" ht="14.25" customHeight="1" s="26"/>
    <row r="558" ht="14.25" customHeight="1" s="26"/>
    <row r="559" ht="14.25" customHeight="1" s="26"/>
    <row r="560" ht="14.25" customHeight="1" s="26"/>
    <row r="561" ht="14.25" customHeight="1" s="26"/>
    <row r="562" ht="14.25" customHeight="1" s="26"/>
    <row r="563" ht="14.25" customHeight="1" s="26"/>
    <row r="564" ht="14.25" customHeight="1" s="26"/>
    <row r="565" ht="14.25" customHeight="1" s="26"/>
    <row r="566" ht="14.25" customHeight="1" s="26"/>
    <row r="567" ht="14.25" customHeight="1" s="26"/>
    <row r="568" ht="14.25" customHeight="1" s="26"/>
    <row r="569" ht="14.25" customHeight="1" s="26"/>
    <row r="570" ht="14.25" customHeight="1" s="26"/>
    <row r="571" ht="14.25" customHeight="1" s="26"/>
    <row r="572" ht="14.25" customHeight="1" s="26"/>
    <row r="573" ht="14.25" customHeight="1" s="26"/>
    <row r="574" ht="14.25" customHeight="1" s="26"/>
    <row r="575" ht="14.25" customHeight="1" s="26"/>
    <row r="576" ht="14.25" customHeight="1" s="26"/>
    <row r="577" ht="14.25" customHeight="1" s="26"/>
    <row r="578" ht="14.25" customHeight="1" s="26"/>
    <row r="579" ht="14.25" customHeight="1" s="26"/>
    <row r="580" ht="14.25" customHeight="1" s="26"/>
    <row r="581" ht="14.25" customHeight="1" s="26"/>
    <row r="582" ht="14.25" customHeight="1" s="26"/>
    <row r="583" ht="14.25" customHeight="1" s="26"/>
    <row r="584" ht="14.25" customHeight="1" s="26"/>
    <row r="585" ht="14.25" customHeight="1" s="26"/>
    <row r="586" ht="14.25" customHeight="1" s="26"/>
    <row r="587" ht="14.25" customHeight="1" s="26"/>
    <row r="588" ht="14.25" customHeight="1" s="26"/>
    <row r="589" ht="14.25" customHeight="1" s="26"/>
    <row r="590" ht="14.25" customHeight="1" s="26"/>
    <row r="591" ht="14.25" customHeight="1" s="26"/>
    <row r="592" ht="14.25" customHeight="1" s="26"/>
    <row r="593" ht="14.25" customHeight="1" s="26"/>
    <row r="594" ht="14.25" customHeight="1" s="26"/>
    <row r="595" ht="14.25" customHeight="1" s="26"/>
    <row r="596" ht="14.25" customHeight="1" s="26"/>
    <row r="597" ht="14.25" customHeight="1" s="26"/>
    <row r="598" ht="14.25" customHeight="1" s="26"/>
    <row r="599" ht="14.25" customHeight="1" s="26"/>
    <row r="600" ht="14.25" customHeight="1" s="26"/>
    <row r="601" ht="14.25" customHeight="1" s="26"/>
    <row r="602" ht="14.25" customHeight="1" s="26"/>
    <row r="603" ht="14.25" customHeight="1" s="26"/>
    <row r="604" ht="14.25" customHeight="1" s="26"/>
    <row r="605" ht="14.25" customHeight="1" s="26"/>
    <row r="606" ht="14.25" customHeight="1" s="26"/>
    <row r="607" ht="14.25" customHeight="1" s="26"/>
    <row r="608" ht="14.25" customHeight="1" s="26"/>
    <row r="609" ht="14.25" customHeight="1" s="26"/>
    <row r="610" ht="14.25" customHeight="1" s="26"/>
    <row r="611" ht="14.25" customHeight="1" s="26"/>
    <row r="612" ht="14.25" customHeight="1" s="26"/>
    <row r="613" ht="14.25" customHeight="1" s="26"/>
    <row r="614" ht="14.25" customHeight="1" s="26"/>
    <row r="615" ht="14.25" customHeight="1" s="26"/>
    <row r="616" ht="14.25" customHeight="1" s="26"/>
    <row r="617" ht="14.25" customHeight="1" s="26"/>
    <row r="618" ht="14.25" customHeight="1" s="26"/>
    <row r="619" ht="14.25" customHeight="1" s="26"/>
    <row r="620" ht="14.25" customHeight="1" s="26"/>
    <row r="621" ht="14.25" customHeight="1" s="26"/>
    <row r="622" ht="14.25" customHeight="1" s="26"/>
    <row r="623" ht="14.25" customHeight="1" s="26"/>
    <row r="624" ht="14.25" customHeight="1" s="26"/>
    <row r="625" ht="14.25" customHeight="1" s="26"/>
    <row r="626" ht="14.25" customHeight="1" s="26"/>
    <row r="627" ht="14.25" customHeight="1" s="26"/>
    <row r="628" ht="14.25" customHeight="1" s="26"/>
    <row r="629" ht="14.25" customHeight="1" s="26"/>
    <row r="630" ht="14.25" customHeight="1" s="26"/>
    <row r="631" ht="14.25" customHeight="1" s="26"/>
    <row r="632" ht="14.25" customHeight="1" s="26"/>
    <row r="633" ht="14.25" customHeight="1" s="26"/>
    <row r="634" ht="14.25" customHeight="1" s="26"/>
    <row r="635" ht="14.25" customHeight="1" s="26"/>
    <row r="636" ht="14.25" customHeight="1" s="26"/>
    <row r="637" ht="14.25" customHeight="1" s="26"/>
    <row r="638" ht="14.25" customHeight="1" s="26"/>
    <row r="639" ht="14.25" customHeight="1" s="26"/>
    <row r="640" ht="14.25" customHeight="1" s="26"/>
    <row r="641" ht="14.25" customHeight="1" s="26"/>
    <row r="642" ht="14.25" customHeight="1" s="26"/>
    <row r="643" ht="14.25" customHeight="1" s="26"/>
    <row r="644" ht="14.25" customHeight="1" s="26"/>
    <row r="645" ht="14.25" customHeight="1" s="26"/>
    <row r="646" ht="14.25" customHeight="1" s="26"/>
    <row r="647" ht="14.25" customHeight="1" s="26"/>
    <row r="648" ht="14.25" customHeight="1" s="26"/>
    <row r="649" ht="14.25" customHeight="1" s="26"/>
    <row r="650" ht="14.25" customHeight="1" s="26"/>
    <row r="651" ht="14.25" customHeight="1" s="26"/>
    <row r="652" ht="14.25" customHeight="1" s="26"/>
    <row r="653" ht="14.25" customHeight="1" s="26"/>
    <row r="654" ht="14.25" customHeight="1" s="26"/>
    <row r="655" ht="14.25" customHeight="1" s="26"/>
    <row r="656" ht="14.25" customHeight="1" s="26"/>
    <row r="657" ht="14.25" customHeight="1" s="26"/>
    <row r="658" ht="14.25" customHeight="1" s="26"/>
    <row r="659" ht="14.25" customHeight="1" s="26"/>
    <row r="660" ht="14.25" customHeight="1" s="26"/>
    <row r="661" ht="14.25" customHeight="1" s="26"/>
    <row r="662" ht="14.25" customHeight="1" s="26"/>
    <row r="663" ht="14.25" customHeight="1" s="26"/>
    <row r="664" ht="14.25" customHeight="1" s="26"/>
    <row r="665" ht="14.25" customHeight="1" s="26"/>
    <row r="666" ht="14.25" customHeight="1" s="26"/>
    <row r="667" ht="14.25" customHeight="1" s="26"/>
    <row r="668" ht="14.25" customHeight="1" s="26"/>
    <row r="669" ht="14.25" customHeight="1" s="26"/>
    <row r="670" ht="14.25" customHeight="1" s="26"/>
    <row r="671" ht="14.25" customHeight="1" s="26"/>
    <row r="672" ht="14.25" customHeight="1" s="26"/>
    <row r="673" ht="14.25" customHeight="1" s="26"/>
    <row r="674" ht="14.25" customHeight="1" s="26"/>
    <row r="675" ht="14.25" customHeight="1" s="26"/>
    <row r="676" ht="14.25" customHeight="1" s="26"/>
    <row r="677" ht="14.25" customHeight="1" s="26"/>
    <row r="678" ht="14.25" customHeight="1" s="26"/>
    <row r="679" ht="14.25" customHeight="1" s="26"/>
    <row r="680" ht="14.25" customHeight="1" s="26"/>
    <row r="681" ht="14.25" customHeight="1" s="26"/>
    <row r="682" ht="14.25" customHeight="1" s="26"/>
    <row r="683" ht="14.25" customHeight="1" s="26"/>
    <row r="684" ht="14.25" customHeight="1" s="26"/>
    <row r="685" ht="14.25" customHeight="1" s="26"/>
    <row r="686" ht="14.25" customHeight="1" s="26"/>
    <row r="687" ht="14.25" customHeight="1" s="26"/>
    <row r="688" ht="14.25" customHeight="1" s="26"/>
    <row r="689" ht="14.25" customHeight="1" s="26"/>
    <row r="690" ht="14.25" customHeight="1" s="26"/>
    <row r="691" ht="14.25" customHeight="1" s="26"/>
    <row r="692" ht="14.25" customHeight="1" s="26"/>
    <row r="693" ht="14.25" customHeight="1" s="26"/>
    <row r="694" ht="14.25" customHeight="1" s="26"/>
    <row r="695" ht="14.25" customHeight="1" s="26"/>
    <row r="696" ht="14.25" customHeight="1" s="26"/>
    <row r="697" ht="14.25" customHeight="1" s="26"/>
    <row r="698" ht="14.25" customHeight="1" s="26"/>
    <row r="699" ht="14.25" customHeight="1" s="26"/>
    <row r="700" ht="14.25" customHeight="1" s="26"/>
    <row r="701" ht="14.25" customHeight="1" s="26"/>
    <row r="702" ht="14.25" customHeight="1" s="26"/>
    <row r="703" ht="14.25" customHeight="1" s="26"/>
    <row r="704" ht="14.25" customHeight="1" s="26"/>
    <row r="705" ht="14.25" customHeight="1" s="26"/>
    <row r="706" ht="14.25" customHeight="1" s="26"/>
    <row r="707" ht="14.25" customHeight="1" s="26"/>
    <row r="708" ht="14.25" customHeight="1" s="26"/>
    <row r="709" ht="14.25" customHeight="1" s="26"/>
    <row r="710" ht="14.25" customHeight="1" s="26"/>
    <row r="711" ht="14.25" customHeight="1" s="26"/>
    <row r="712" ht="14.25" customHeight="1" s="26"/>
    <row r="713" ht="14.25" customHeight="1" s="26"/>
    <row r="714" ht="14.25" customHeight="1" s="26"/>
    <row r="715" ht="14.25" customHeight="1" s="26"/>
    <row r="716" ht="14.25" customHeight="1" s="26"/>
    <row r="717" ht="14.25" customHeight="1" s="26"/>
    <row r="718" ht="14.25" customHeight="1" s="26"/>
    <row r="719" ht="14.25" customHeight="1" s="26"/>
    <row r="720" ht="14.25" customHeight="1" s="26"/>
    <row r="721" ht="14.25" customHeight="1" s="26"/>
    <row r="722" ht="14.25" customHeight="1" s="26"/>
    <row r="723" ht="14.25" customHeight="1" s="26"/>
    <row r="724" ht="14.25" customHeight="1" s="26"/>
    <row r="725" ht="14.25" customHeight="1" s="26"/>
    <row r="726" ht="14.25" customHeight="1" s="26"/>
    <row r="727" ht="14.25" customHeight="1" s="26"/>
    <row r="728" ht="14.25" customHeight="1" s="26"/>
    <row r="729" ht="14.25" customHeight="1" s="26"/>
    <row r="730" ht="14.25" customHeight="1" s="26"/>
    <row r="731" ht="14.25" customHeight="1" s="26"/>
    <row r="732" ht="14.25" customHeight="1" s="26"/>
    <row r="733" ht="14.25" customHeight="1" s="26"/>
    <row r="734" ht="14.25" customHeight="1" s="26"/>
    <row r="735" ht="14.25" customHeight="1" s="26"/>
    <row r="736" ht="14.25" customHeight="1" s="26"/>
    <row r="737" ht="14.25" customHeight="1" s="26"/>
    <row r="738" ht="14.25" customHeight="1" s="26"/>
    <row r="739" ht="14.25" customHeight="1" s="26"/>
    <row r="740" ht="14.25" customHeight="1" s="26"/>
    <row r="741" ht="14.25" customHeight="1" s="26"/>
    <row r="742" ht="14.25" customHeight="1" s="26"/>
    <row r="743" ht="14.25" customHeight="1" s="26"/>
    <row r="744" ht="14.25" customHeight="1" s="26"/>
    <row r="745" ht="14.25" customHeight="1" s="26"/>
    <row r="746" ht="14.25" customHeight="1" s="26"/>
    <row r="747" ht="14.25" customHeight="1" s="26"/>
    <row r="748" ht="14.25" customHeight="1" s="26"/>
    <row r="749" ht="14.25" customHeight="1" s="26"/>
    <row r="750" ht="14.25" customHeight="1" s="26"/>
    <row r="751" ht="14.25" customHeight="1" s="26"/>
    <row r="752" ht="14.25" customHeight="1" s="26"/>
    <row r="753" ht="14.25" customHeight="1" s="26"/>
    <row r="754" ht="14.25" customHeight="1" s="26"/>
    <row r="755" ht="14.25" customHeight="1" s="26"/>
    <row r="756" ht="14.25" customHeight="1" s="26"/>
    <row r="757" ht="14.25" customHeight="1" s="26"/>
    <row r="758" ht="14.25" customHeight="1" s="26"/>
    <row r="759" ht="14.25" customHeight="1" s="26"/>
    <row r="760" ht="14.25" customHeight="1" s="26"/>
    <row r="761" ht="14.25" customHeight="1" s="26"/>
    <row r="762" ht="14.25" customHeight="1" s="26"/>
    <row r="763" ht="14.25" customHeight="1" s="26"/>
    <row r="764" ht="14.25" customHeight="1" s="26"/>
    <row r="765" ht="14.25" customHeight="1" s="26"/>
    <row r="766" ht="14.25" customHeight="1" s="26"/>
    <row r="767" ht="14.25" customHeight="1" s="26"/>
    <row r="768" ht="14.25" customHeight="1" s="26"/>
    <row r="769" ht="14.25" customHeight="1" s="26"/>
    <row r="770" ht="14.25" customHeight="1" s="26"/>
    <row r="771" ht="14.25" customHeight="1" s="26"/>
    <row r="772" ht="14.25" customHeight="1" s="26"/>
    <row r="773" ht="14.25" customHeight="1" s="26"/>
    <row r="774" ht="14.25" customHeight="1" s="26"/>
    <row r="775" ht="14.25" customHeight="1" s="26"/>
    <row r="776" ht="14.25" customHeight="1" s="26"/>
    <row r="777" ht="14.25" customHeight="1" s="26"/>
    <row r="778" ht="14.25" customHeight="1" s="26"/>
    <row r="779" ht="14.25" customHeight="1" s="26"/>
    <row r="780" ht="14.25" customHeight="1" s="26"/>
    <row r="781" ht="14.25" customHeight="1" s="26"/>
    <row r="782" ht="14.25" customHeight="1" s="26"/>
    <row r="783" ht="14.25" customHeight="1" s="26"/>
    <row r="784" ht="14.25" customHeight="1" s="26"/>
    <row r="785" ht="14.25" customHeight="1" s="26"/>
    <row r="786" ht="14.25" customHeight="1" s="26"/>
    <row r="787" ht="14.25" customHeight="1" s="26"/>
    <row r="788" ht="14.25" customHeight="1" s="26"/>
    <row r="789" ht="14.25" customHeight="1" s="26"/>
    <row r="790" ht="14.25" customHeight="1" s="26"/>
    <row r="791" ht="14.25" customHeight="1" s="26"/>
    <row r="792" ht="14.25" customHeight="1" s="26"/>
    <row r="793" ht="14.25" customHeight="1" s="26"/>
    <row r="794" ht="14.25" customHeight="1" s="26"/>
    <row r="795" ht="14.25" customHeight="1" s="26"/>
    <row r="796" ht="14.25" customHeight="1" s="26"/>
    <row r="797" ht="14.25" customHeight="1" s="26"/>
    <row r="798" ht="14.25" customHeight="1" s="26"/>
    <row r="799" ht="14.25" customHeight="1" s="26"/>
    <row r="800" ht="14.25" customHeight="1" s="26"/>
    <row r="801" ht="14.25" customHeight="1" s="26"/>
    <row r="802" ht="14.25" customHeight="1" s="26"/>
    <row r="803" ht="14.25" customHeight="1" s="26"/>
    <row r="804" ht="14.25" customHeight="1" s="26"/>
    <row r="805" ht="14.25" customHeight="1" s="26"/>
    <row r="806" ht="14.25" customHeight="1" s="26"/>
    <row r="807" ht="14.25" customHeight="1" s="26"/>
    <row r="808" ht="14.25" customHeight="1" s="26"/>
    <row r="809" ht="14.25" customHeight="1" s="26"/>
    <row r="810" ht="14.25" customHeight="1" s="26"/>
    <row r="811" ht="14.25" customHeight="1" s="26"/>
    <row r="812" ht="14.25" customHeight="1" s="26"/>
    <row r="813" ht="14.25" customHeight="1" s="26"/>
    <row r="814" ht="14.25" customHeight="1" s="26"/>
    <row r="815" ht="14.25" customHeight="1" s="26"/>
    <row r="816" ht="14.25" customHeight="1" s="26"/>
    <row r="817" ht="14.25" customHeight="1" s="26"/>
    <row r="818" ht="14.25" customHeight="1" s="26"/>
    <row r="819" ht="14.25" customHeight="1" s="26"/>
    <row r="820" ht="14.25" customHeight="1" s="26"/>
    <row r="821" ht="14.25" customHeight="1" s="26"/>
    <row r="822" ht="14.25" customHeight="1" s="26"/>
    <row r="823" ht="14.25" customHeight="1" s="26"/>
    <row r="824" ht="14.25" customHeight="1" s="26"/>
    <row r="825" ht="14.25" customHeight="1" s="26"/>
    <row r="826" ht="14.25" customHeight="1" s="26"/>
    <row r="827" ht="14.25" customHeight="1" s="26"/>
    <row r="828" ht="14.25" customHeight="1" s="26"/>
    <row r="829" ht="14.25" customHeight="1" s="26"/>
    <row r="830" ht="14.25" customHeight="1" s="26"/>
    <row r="831" ht="14.25" customHeight="1" s="26"/>
    <row r="832" ht="14.25" customHeight="1" s="26"/>
    <row r="833" ht="14.25" customHeight="1" s="26"/>
    <row r="834" ht="14.25" customHeight="1" s="26"/>
    <row r="835" ht="14.25" customHeight="1" s="26"/>
    <row r="836" ht="14.25" customHeight="1" s="26"/>
    <row r="837" ht="14.25" customHeight="1" s="26"/>
    <row r="838" ht="14.25" customHeight="1" s="26"/>
    <row r="839" ht="14.25" customHeight="1" s="26"/>
    <row r="840" ht="14.25" customHeight="1" s="26"/>
    <row r="841" ht="14.25" customHeight="1" s="26"/>
    <row r="842" ht="14.25" customHeight="1" s="26"/>
    <row r="843" ht="14.25" customHeight="1" s="26"/>
    <row r="844" ht="14.25" customHeight="1" s="26"/>
    <row r="845" ht="14.25" customHeight="1" s="26"/>
    <row r="846" ht="14.25" customHeight="1" s="26"/>
    <row r="847" ht="14.25" customHeight="1" s="26"/>
    <row r="848" ht="14.25" customHeight="1" s="26"/>
    <row r="849" ht="14.25" customHeight="1" s="26"/>
    <row r="850" ht="14.25" customHeight="1" s="26"/>
    <row r="851" ht="14.25" customHeight="1" s="26"/>
    <row r="852" ht="14.25" customHeight="1" s="26"/>
    <row r="853" ht="14.25" customHeight="1" s="26"/>
    <row r="854" ht="14.25" customHeight="1" s="26"/>
    <row r="855" ht="14.25" customHeight="1" s="26"/>
    <row r="856" ht="14.25" customHeight="1" s="26"/>
    <row r="857" ht="14.25" customHeight="1" s="26"/>
    <row r="858" ht="14.25" customHeight="1" s="26"/>
    <row r="859" ht="14.25" customHeight="1" s="26"/>
    <row r="860" ht="14.25" customHeight="1" s="26"/>
    <row r="861" ht="14.25" customHeight="1" s="26"/>
    <row r="862" ht="14.25" customHeight="1" s="26"/>
    <row r="863" ht="14.25" customHeight="1" s="26"/>
    <row r="864" ht="14.25" customHeight="1" s="26"/>
    <row r="865" ht="14.25" customHeight="1" s="26"/>
    <row r="866" ht="14.25" customHeight="1" s="26"/>
    <row r="867" ht="14.25" customHeight="1" s="26"/>
    <row r="868" ht="14.25" customHeight="1" s="26"/>
    <row r="869" ht="14.25" customHeight="1" s="26"/>
    <row r="870" ht="14.25" customHeight="1" s="26"/>
    <row r="871" ht="14.25" customHeight="1" s="26"/>
    <row r="872" ht="14.25" customHeight="1" s="26"/>
    <row r="873" ht="14.25" customHeight="1" s="26"/>
    <row r="874" ht="14.25" customHeight="1" s="26"/>
    <row r="875" ht="14.25" customHeight="1" s="26"/>
    <row r="876" ht="14.25" customHeight="1" s="26"/>
    <row r="877" ht="14.25" customHeight="1" s="26"/>
    <row r="878" ht="14.25" customHeight="1" s="26"/>
    <row r="879" ht="14.25" customHeight="1" s="26"/>
    <row r="880" ht="14.25" customHeight="1" s="26"/>
    <row r="881" ht="14.25" customHeight="1" s="26"/>
    <row r="882" ht="14.25" customHeight="1" s="26"/>
    <row r="883" ht="14.25" customHeight="1" s="26"/>
    <row r="884" ht="14.25" customHeight="1" s="26"/>
    <row r="885" ht="14.25" customHeight="1" s="26"/>
    <row r="886" ht="14.25" customHeight="1" s="26"/>
    <row r="887" ht="14.25" customHeight="1" s="26"/>
    <row r="888" ht="14.25" customHeight="1" s="26"/>
    <row r="889" ht="14.25" customHeight="1" s="26"/>
    <row r="890" ht="14.25" customHeight="1" s="26"/>
    <row r="891" ht="14.25" customHeight="1" s="26"/>
    <row r="892" ht="14.25" customHeight="1" s="26"/>
    <row r="893" ht="14.25" customHeight="1" s="26"/>
    <row r="894" ht="14.25" customHeight="1" s="26"/>
    <row r="895" ht="14.25" customHeight="1" s="26"/>
    <row r="896" ht="14.25" customHeight="1" s="26"/>
    <row r="897" ht="14.25" customHeight="1" s="26"/>
    <row r="898" ht="14.25" customHeight="1" s="26"/>
    <row r="899" ht="14.25" customHeight="1" s="26"/>
    <row r="900" ht="14.25" customHeight="1" s="26"/>
    <row r="901" ht="14.25" customHeight="1" s="26"/>
    <row r="902" ht="14.25" customHeight="1" s="26"/>
    <row r="903" ht="14.25" customHeight="1" s="26"/>
    <row r="904" ht="14.25" customHeight="1" s="26"/>
    <row r="905" ht="14.25" customHeight="1" s="26"/>
    <row r="906" ht="14.25" customHeight="1" s="26"/>
    <row r="907" ht="14.25" customHeight="1" s="26"/>
    <row r="908" ht="14.25" customHeight="1" s="26"/>
    <row r="909" ht="14.25" customHeight="1" s="26"/>
    <row r="910" ht="14.25" customHeight="1" s="26"/>
    <row r="911" ht="14.25" customHeight="1" s="26"/>
    <row r="912" ht="14.25" customHeight="1" s="26"/>
    <row r="913" ht="14.25" customHeight="1" s="26"/>
    <row r="914" ht="14.25" customHeight="1" s="26"/>
    <row r="915" ht="14.25" customHeight="1" s="26"/>
    <row r="916" ht="14.25" customHeight="1" s="26"/>
    <row r="917" ht="14.25" customHeight="1" s="26"/>
    <row r="918" ht="14.25" customHeight="1" s="26"/>
    <row r="919" ht="14.25" customHeight="1" s="26"/>
    <row r="920" ht="14.25" customHeight="1" s="26"/>
    <row r="921" ht="14.25" customHeight="1" s="26"/>
    <row r="922" ht="14.25" customHeight="1" s="26"/>
    <row r="923" ht="14.25" customHeight="1" s="26"/>
    <row r="924" ht="14.25" customHeight="1" s="26"/>
    <row r="925" ht="14.25" customHeight="1" s="26"/>
    <row r="926" ht="14.25" customHeight="1" s="26"/>
    <row r="927" ht="14.25" customHeight="1" s="26"/>
    <row r="928" ht="14.25" customHeight="1" s="26"/>
    <row r="929" ht="14.25" customHeight="1" s="26"/>
    <row r="930" ht="14.25" customHeight="1" s="26"/>
    <row r="931" ht="14.25" customHeight="1" s="26"/>
    <row r="932" ht="14.25" customHeight="1" s="26"/>
    <row r="933" ht="14.25" customHeight="1" s="26"/>
    <row r="934" ht="14.25" customHeight="1" s="26"/>
    <row r="935" ht="14.25" customHeight="1" s="26"/>
    <row r="936" ht="14.25" customHeight="1" s="26"/>
    <row r="937" ht="14.25" customHeight="1" s="26"/>
    <row r="938" ht="14.25" customHeight="1" s="26"/>
    <row r="939" ht="14.25" customHeight="1" s="26"/>
    <row r="940" ht="14.25" customHeight="1" s="26"/>
    <row r="941" ht="14.25" customHeight="1" s="26"/>
    <row r="942" ht="14.25" customHeight="1" s="26"/>
    <row r="943" ht="14.25" customHeight="1" s="26"/>
    <row r="944" ht="14.25" customHeight="1" s="26"/>
    <row r="945" ht="14.25" customHeight="1" s="26"/>
    <row r="946" ht="14.25" customHeight="1" s="26"/>
    <row r="947" ht="14.25" customHeight="1" s="26"/>
    <row r="948" ht="14.25" customHeight="1" s="26"/>
    <row r="949" ht="14.25" customHeight="1" s="26"/>
    <row r="950" ht="14.25" customHeight="1" s="26"/>
    <row r="951" ht="14.25" customHeight="1" s="26"/>
    <row r="952" ht="14.25" customHeight="1" s="26"/>
    <row r="953" ht="14.25" customHeight="1" s="26"/>
    <row r="954" ht="14.25" customHeight="1" s="26"/>
    <row r="955" ht="14.25" customHeight="1" s="26"/>
    <row r="956" ht="14.25" customHeight="1" s="26"/>
    <row r="957" ht="14.25" customHeight="1" s="26"/>
    <row r="958" ht="14.25" customHeight="1" s="26"/>
    <row r="959" ht="14.25" customHeight="1" s="26"/>
    <row r="960" ht="14.25" customHeight="1" s="26"/>
    <row r="961" ht="14.25" customHeight="1" s="26"/>
    <row r="962" ht="14.25" customHeight="1" s="26"/>
    <row r="963" ht="14.25" customHeight="1" s="26"/>
    <row r="964" ht="14.25" customHeight="1" s="26"/>
    <row r="965" ht="14.25" customHeight="1" s="26"/>
    <row r="966" ht="14.25" customHeight="1" s="26"/>
    <row r="967" ht="14.25" customHeight="1" s="26"/>
    <row r="968" ht="14.25" customHeight="1" s="26"/>
    <row r="969" ht="14.25" customHeight="1" s="26"/>
    <row r="970" ht="14.25" customHeight="1" s="26"/>
    <row r="971" ht="14.25" customHeight="1" s="26"/>
    <row r="972" ht="14.25" customHeight="1" s="26"/>
    <row r="973" ht="14.25" customHeight="1" s="26"/>
    <row r="974" ht="14.25" customHeight="1" s="26"/>
    <row r="975" ht="14.25" customHeight="1" s="26"/>
    <row r="976" ht="14.25" customHeight="1" s="26"/>
    <row r="977" ht="14.25" customHeight="1" s="26"/>
    <row r="978" ht="14.25" customHeight="1" s="26"/>
    <row r="979" ht="14.25" customHeight="1" s="26"/>
    <row r="980" ht="14.25" customHeight="1" s="26"/>
    <row r="981" ht="14.25" customHeight="1" s="26"/>
    <row r="982" ht="14.25" customHeight="1" s="26"/>
    <row r="983" ht="14.25" customHeight="1" s="26"/>
    <row r="984" ht="14.25" customHeight="1" s="26"/>
    <row r="985" ht="14.25" customHeight="1" s="26"/>
    <row r="986" ht="14.25" customHeight="1" s="26"/>
    <row r="987" ht="14.25" customHeight="1" s="26"/>
    <row r="988" ht="14.25" customHeight="1" s="26"/>
    <row r="989" ht="14.25" customHeight="1" s="26"/>
    <row r="990" ht="14.25" customHeight="1" s="26"/>
    <row r="991" ht="14.25" customHeight="1" s="26"/>
    <row r="992" ht="14.25" customHeight="1" s="26"/>
    <row r="993" ht="14.25" customHeight="1" s="26"/>
    <row r="994" ht="14.25" customHeight="1" s="26"/>
    <row r="995" ht="14.25" customHeight="1" s="26"/>
    <row r="996" ht="14.25" customHeight="1" s="26"/>
    <row r="997" ht="14.25" customHeight="1" s="26"/>
    <row r="998" ht="14.25" customHeight="1" s="26"/>
    <row r="999" ht="14.25" customHeight="1" s="26"/>
    <row r="1000" ht="14.25" customHeight="1" s="26"/>
  </sheetData>
  <mergeCells count="1">
    <mergeCell ref="C12:D12"/>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12.63" defaultRowHeight="15" customHeight="1"/>
  <cols>
    <col width="28.25" customWidth="1" style="26" min="1" max="1"/>
    <col width="12.88" customWidth="1" style="26" min="2" max="2"/>
    <col width="12.13" customWidth="1" style="26" min="3" max="3"/>
    <col width="28.88" customWidth="1" style="26" min="4" max="4"/>
    <col width="13.38" customWidth="1" style="26" min="5" max="5"/>
    <col width="13.25" customWidth="1" style="26" min="6" max="6"/>
    <col width="12.38" customWidth="1" style="26" min="7" max="7"/>
    <col width="12.63" customWidth="1" style="26" min="8" max="8"/>
    <col width="13.63" customWidth="1" style="26" min="9" max="9"/>
    <col width="11.5" customWidth="1" style="26" min="10" max="10"/>
    <col width="8.630000000000001" customWidth="1" style="26" min="11" max="26"/>
  </cols>
  <sheetData>
    <row r="1" ht="14.25" customHeight="1" s="26">
      <c r="A1" s="30" t="inlineStr">
        <is>
          <t xml:space="preserve">Existing Demand Nodes </t>
        </is>
      </c>
    </row>
    <row r="2" ht="14.25" customHeight="1" s="26">
      <c r="A2" s="9" t="inlineStr">
        <is>
          <t>Micro-fulfilment centre location</t>
        </is>
      </c>
      <c r="B2" s="9" t="inlineStr">
        <is>
          <t>X coordinate</t>
        </is>
      </c>
      <c r="C2" s="9" t="inlineStr">
        <is>
          <t>Y coordinate</t>
        </is>
      </c>
      <c r="D2" s="9" t="inlineStr">
        <is>
          <t>Daily replenishment load (in tons)</t>
        </is>
      </c>
    </row>
    <row r="3" ht="14.25" customHeight="1" s="26">
      <c r="A3" s="8" t="inlineStr">
        <is>
          <t>Indiranagar</t>
        </is>
      </c>
      <c r="B3" s="10" t="n">
        <v>15</v>
      </c>
      <c r="C3" s="10" t="n">
        <v>20</v>
      </c>
      <c r="D3" s="10" t="n">
        <v>45</v>
      </c>
    </row>
    <row r="4" ht="14.25" customHeight="1" s="26">
      <c r="A4" s="8" t="inlineStr">
        <is>
          <t>Whitefield</t>
        </is>
      </c>
      <c r="B4" s="10" t="n">
        <v>25</v>
      </c>
      <c r="C4" s="10" t="n">
        <v>22</v>
      </c>
      <c r="D4" s="10" t="n">
        <v>28</v>
      </c>
    </row>
    <row r="5" ht="14.25" customHeight="1" s="26">
      <c r="A5" s="8" t="inlineStr">
        <is>
          <t>Koramangala</t>
        </is>
      </c>
      <c r="B5" s="10" t="n">
        <v>12</v>
      </c>
      <c r="C5" s="10" t="n">
        <v>14</v>
      </c>
      <c r="D5" s="10" t="n">
        <v>30</v>
      </c>
    </row>
    <row r="6" ht="14.25" customHeight="1" s="26">
      <c r="A6" s="8" t="inlineStr">
        <is>
          <t>Electronic city</t>
        </is>
      </c>
      <c r="B6" s="10" t="n">
        <v>14</v>
      </c>
      <c r="C6" s="10" t="n">
        <v>5</v>
      </c>
      <c r="D6" s="10" t="n">
        <v>49</v>
      </c>
    </row>
    <row r="7" ht="14.25" customHeight="1" s="26">
      <c r="A7" s="8" t="inlineStr">
        <is>
          <t>Yelahanka</t>
        </is>
      </c>
      <c r="B7" s="10" t="n">
        <v>10</v>
      </c>
      <c r="C7" s="10" t="n">
        <v>30</v>
      </c>
      <c r="D7" s="10" t="n">
        <v>55</v>
      </c>
    </row>
    <row r="8" ht="14.25" customHeight="1" s="26"/>
    <row r="9" ht="14.25" customHeight="1" s="26">
      <c r="A9" s="29" t="inlineStr">
        <is>
          <t>Candidate site for the central warehouse</t>
        </is>
      </c>
      <c r="E9" s="31" t="inlineStr">
        <is>
          <t>Step 1: Euclidean distance computation b/w candidate sites &amp; existing demand nodes</t>
        </is>
      </c>
    </row>
    <row r="10" ht="14.25" customHeight="1" s="26">
      <c r="A10" s="9" t="inlineStr">
        <is>
          <t>Candidate site</t>
        </is>
      </c>
      <c r="B10" s="9" t="inlineStr">
        <is>
          <t>X coordinate</t>
        </is>
      </c>
      <c r="C10" s="9" t="inlineStr">
        <is>
          <t>Y coordinate</t>
        </is>
      </c>
      <c r="F10" s="7" t="inlineStr">
        <is>
          <t>Indiranagar</t>
        </is>
      </c>
      <c r="G10" s="7" t="inlineStr">
        <is>
          <t>Whitefield</t>
        </is>
      </c>
      <c r="H10" s="7" t="inlineStr">
        <is>
          <t>Koramangala</t>
        </is>
      </c>
      <c r="I10" s="7" t="inlineStr">
        <is>
          <t>Electronic city</t>
        </is>
      </c>
      <c r="J10" s="7" t="inlineStr">
        <is>
          <t>Yelahanka</t>
        </is>
      </c>
    </row>
    <row r="11" ht="14.25" customHeight="1" s="26">
      <c r="A11" s="8" t="inlineStr">
        <is>
          <t>Hebbal</t>
        </is>
      </c>
      <c r="B11" s="20" t="n">
        <v>12</v>
      </c>
      <c r="C11" s="20" t="n">
        <v>28</v>
      </c>
      <c r="E11" s="9" t="inlineStr">
        <is>
          <t>Hebbal</t>
        </is>
      </c>
      <c r="F11" s="10">
        <f>SQRT(($B11-$B$3)^2+($C11-$C$3)^2)</f>
        <v/>
      </c>
      <c r="G11" s="10">
        <f>SQRT(($B11-$B$4)^2+($C11-$C$4)^2)</f>
        <v/>
      </c>
      <c r="H11" s="10">
        <f>SQRT(($B11-$B$5)^2+($C11-$C$5)^2)</f>
        <v/>
      </c>
      <c r="I11" s="10">
        <f>SQRT(($B11-$B$6)^2+($C11-$C$6)^2)</f>
        <v/>
      </c>
      <c r="J11" s="10">
        <f>SQRT(($B11-$B$7)^2+($C11-$C$7)^2)</f>
        <v/>
      </c>
    </row>
    <row r="12" ht="14.25" customHeight="1" s="26">
      <c r="A12" s="8" t="inlineStr">
        <is>
          <t>Marathahalli</t>
        </is>
      </c>
      <c r="B12" s="20" t="n">
        <v>20</v>
      </c>
      <c r="C12" s="20" t="n">
        <v>18</v>
      </c>
      <c r="E12" s="9" t="inlineStr">
        <is>
          <t>Marathahalli</t>
        </is>
      </c>
      <c r="F12" s="10">
        <f>SQRT(($B12-$B$3)^2+($C12-$C$3)^2)</f>
        <v/>
      </c>
      <c r="G12" s="10">
        <f>SQRT(($B12-$B$4)^2+($C12-$C$4)^2)</f>
        <v/>
      </c>
      <c r="H12" s="10">
        <f>SQRT(($B12-$B$5)^2+($C12-$C$5)^2)</f>
        <v/>
      </c>
      <c r="I12" s="10">
        <f>SQRT(($B12-$B$6)^2+($C12-$C$6)^2)</f>
        <v/>
      </c>
      <c r="J12" s="10">
        <f>SQRT(($B12-$B$7)^2+($C12-$C$7)^2)</f>
        <v/>
      </c>
    </row>
    <row r="13" ht="14.25" customHeight="1" s="26">
      <c r="A13" s="8" t="inlineStr">
        <is>
          <t>Silk board</t>
        </is>
      </c>
      <c r="B13" s="20" t="n">
        <v>13</v>
      </c>
      <c r="C13" s="20" t="n">
        <v>12</v>
      </c>
      <c r="E13" s="9" t="inlineStr">
        <is>
          <t>Silk board</t>
        </is>
      </c>
      <c r="F13" s="10">
        <f>SQRT(($B13-$B$3)^2+($C13-$C$3)^2)</f>
        <v/>
      </c>
      <c r="G13" s="10">
        <f>SQRT(($B13-$B$4)^2+($C13-$C$4)^2)</f>
        <v/>
      </c>
      <c r="H13" s="10">
        <f>SQRT(($B13-$B$5)^2+($C13-$C$5)^2)</f>
        <v/>
      </c>
      <c r="I13" s="10">
        <f>SQRT(($B13-$B$6)^2+($C13-$C$6)^2)</f>
        <v/>
      </c>
      <c r="J13" s="10">
        <f>SQRT(($B13-$B$7)^2+($C13-$C$7)^2)</f>
        <v/>
      </c>
    </row>
    <row r="14" ht="14.25" customHeight="1" s="26"/>
    <row r="15" ht="14.25" customHeight="1" s="26"/>
    <row r="16" ht="14.25" customHeight="1" s="26">
      <c r="E16" s="32" t="inlineStr">
        <is>
          <t>Step 2: Load-distance score computation</t>
        </is>
      </c>
      <c r="I16" s="22" t="n"/>
      <c r="J16" s="22" t="n"/>
    </row>
    <row r="17" ht="14.25" customHeight="1" s="26">
      <c r="F17" s="9" t="inlineStr">
        <is>
          <t>Candidate site</t>
        </is>
      </c>
      <c r="G17" s="9" t="inlineStr">
        <is>
          <t>LD score</t>
        </is>
      </c>
    </row>
    <row r="18" ht="14.25" customHeight="1" s="26">
      <c r="F18" s="8" t="inlineStr">
        <is>
          <t>Hebbal</t>
        </is>
      </c>
      <c r="G18" s="23">
        <f>SUMPRODUCT($D$3:$D$7, F11:J11)</f>
        <v/>
      </c>
    </row>
    <row r="19" ht="14.25" customHeight="1" s="26">
      <c r="F19" s="8" t="inlineStr">
        <is>
          <t>Marathahalli</t>
        </is>
      </c>
      <c r="G19" s="23">
        <f>SUMPRODUCT($D$3:$D$7, F12:J12)</f>
        <v/>
      </c>
    </row>
    <row r="20" ht="14.25" customHeight="1" s="26">
      <c r="F20" s="8" t="inlineStr">
        <is>
          <t>Silk board</t>
        </is>
      </c>
      <c r="G20" s="23">
        <f>SUMPRODUCT($D$3:$D$7, F13:J13)</f>
        <v/>
      </c>
    </row>
    <row r="21" ht="14.25" customHeight="1" s="26"/>
    <row r="22" ht="14.25" customHeight="1" s="26"/>
    <row r="23" ht="14.25" customHeight="1" s="26"/>
    <row r="24" ht="14.25" customHeight="1" s="26"/>
    <row r="25" ht="14.25" customHeight="1" s="26"/>
    <row r="26" ht="14.25" customHeight="1" s="26"/>
    <row r="27" ht="14.25" customHeight="1" s="26"/>
    <row r="28" ht="14.25" customHeight="1" s="26"/>
    <row r="29" ht="14.25" customHeight="1" s="26"/>
    <row r="30" ht="14.25" customHeight="1" s="26"/>
    <row r="31" ht="14.25" customHeight="1" s="26"/>
    <row r="32" ht="14.25" customHeight="1" s="26"/>
    <row r="33" ht="14.25" customHeight="1" s="26"/>
    <row r="34" ht="14.25" customHeight="1" s="26"/>
    <row r="35" ht="14.25" customHeight="1" s="26"/>
    <row r="36" ht="14.25" customHeight="1" s="26"/>
    <row r="37" ht="14.25" customHeight="1" s="26"/>
    <row r="38" ht="14.25" customHeight="1" s="26"/>
    <row r="39" ht="14.25" customHeight="1" s="26"/>
    <row r="40" ht="14.25" customHeight="1" s="26"/>
    <row r="41" ht="14.25" customHeight="1" s="26"/>
    <row r="42" ht="14.25" customHeight="1" s="26"/>
    <row r="43" ht="14.25" customHeight="1" s="26"/>
    <row r="44" ht="14.25" customHeight="1" s="26"/>
    <row r="45" ht="14.25" customHeight="1" s="26"/>
    <row r="46" ht="14.25" customHeight="1" s="26"/>
    <row r="47" ht="14.25" customHeight="1" s="26"/>
    <row r="48" ht="14.25" customHeight="1" s="26"/>
    <row r="49" ht="14.25" customHeight="1" s="26"/>
    <row r="50" ht="14.25" customHeight="1" s="26"/>
    <row r="51" ht="14.25" customHeight="1" s="26"/>
    <row r="52" ht="14.25" customHeight="1" s="26"/>
    <row r="53" ht="14.25" customHeight="1" s="26"/>
    <row r="54" ht="14.25" customHeight="1" s="26"/>
    <row r="55" ht="14.25" customHeight="1" s="26"/>
    <row r="56" ht="14.25" customHeight="1" s="26"/>
    <row r="57" ht="14.25" customHeight="1" s="26"/>
    <row r="58" ht="14.25" customHeight="1" s="26"/>
    <row r="59" ht="14.25" customHeight="1" s="26"/>
    <row r="60" ht="14.25" customHeight="1" s="26"/>
    <row r="61" ht="14.25" customHeight="1" s="26"/>
    <row r="62" ht="14.25" customHeight="1" s="26"/>
    <row r="63" ht="14.25" customHeight="1" s="26"/>
    <row r="64" ht="14.25" customHeight="1" s="26"/>
    <row r="65" ht="14.25" customHeight="1" s="26"/>
    <row r="66" ht="14.25" customHeight="1" s="26"/>
    <row r="67" ht="14.25" customHeight="1" s="26"/>
    <row r="68" ht="14.25" customHeight="1" s="26"/>
    <row r="69" ht="14.25" customHeight="1" s="26"/>
    <row r="70" ht="14.25" customHeight="1" s="26"/>
    <row r="71" ht="14.25" customHeight="1" s="26"/>
    <row r="72" ht="14.25" customHeight="1" s="26"/>
    <row r="73" ht="14.25" customHeight="1" s="26"/>
    <row r="74" ht="14.25" customHeight="1" s="26"/>
    <row r="75" ht="14.25" customHeight="1" s="26"/>
    <row r="76" ht="14.25" customHeight="1" s="26"/>
    <row r="77" ht="14.25" customHeight="1" s="26"/>
    <row r="78" ht="14.25" customHeight="1" s="26"/>
    <row r="79" ht="14.25" customHeight="1" s="26"/>
    <row r="80" ht="14.25" customHeight="1" s="26"/>
    <row r="81" ht="14.25" customHeight="1" s="26"/>
    <row r="82" ht="14.25" customHeight="1" s="26"/>
    <row r="83" ht="14.25" customHeight="1" s="26"/>
    <row r="84" ht="14.25" customHeight="1" s="26"/>
    <row r="85" ht="14.25" customHeight="1" s="26"/>
    <row r="86" ht="14.25" customHeight="1" s="26"/>
    <row r="87" ht="14.25" customHeight="1" s="26"/>
    <row r="88" ht="14.25" customHeight="1" s="26"/>
    <row r="89" ht="14.25" customHeight="1" s="26"/>
    <row r="90" ht="14.25" customHeight="1" s="26"/>
    <row r="91" ht="14.25" customHeight="1" s="26"/>
    <row r="92" ht="14.25" customHeight="1" s="26"/>
    <row r="93" ht="14.25" customHeight="1" s="26"/>
    <row r="94" ht="14.25" customHeight="1" s="26"/>
    <row r="95" ht="14.25" customHeight="1" s="26"/>
    <row r="96" ht="14.25" customHeight="1" s="26"/>
    <row r="97" ht="14.25" customHeight="1" s="26"/>
    <row r="98" ht="14.25" customHeight="1" s="26"/>
    <row r="99" ht="14.25" customHeight="1" s="26"/>
    <row r="100" ht="14.25" customHeight="1" s="26"/>
    <row r="101" ht="14.25" customHeight="1" s="26"/>
    <row r="102" ht="14.25" customHeight="1" s="26"/>
    <row r="103" ht="14.25" customHeight="1" s="26"/>
    <row r="104" ht="14.25" customHeight="1" s="26"/>
    <row r="105" ht="14.25" customHeight="1" s="26"/>
    <row r="106" ht="14.25" customHeight="1" s="26"/>
    <row r="107" ht="14.25" customHeight="1" s="26"/>
    <row r="108" ht="14.25" customHeight="1" s="26"/>
    <row r="109" ht="14.25" customHeight="1" s="26"/>
    <row r="110" ht="14.25" customHeight="1" s="26"/>
    <row r="111" ht="14.25" customHeight="1" s="26"/>
    <row r="112" ht="14.25" customHeight="1" s="26"/>
    <row r="113" ht="14.25" customHeight="1" s="26"/>
    <row r="114" ht="14.25" customHeight="1" s="26"/>
    <row r="115" ht="14.25" customHeight="1" s="26"/>
    <row r="116" ht="14.25" customHeight="1" s="26"/>
    <row r="117" ht="14.25" customHeight="1" s="26"/>
    <row r="118" ht="14.25" customHeight="1" s="26"/>
    <row r="119" ht="14.25" customHeight="1" s="26"/>
    <row r="120" ht="14.25" customHeight="1" s="26"/>
    <row r="121" ht="14.25" customHeight="1" s="26"/>
    <row r="122" ht="14.25" customHeight="1" s="26"/>
    <row r="123" ht="14.25" customHeight="1" s="26"/>
    <row r="124" ht="14.25" customHeight="1" s="26"/>
    <row r="125" ht="14.25" customHeight="1" s="26"/>
    <row r="126" ht="14.25" customHeight="1" s="26"/>
    <row r="127" ht="14.25" customHeight="1" s="26"/>
    <row r="128" ht="14.25" customHeight="1" s="26"/>
    <row r="129" ht="14.25" customHeight="1" s="26"/>
    <row r="130" ht="14.25" customHeight="1" s="26"/>
    <row r="131" ht="14.25" customHeight="1" s="26"/>
    <row r="132" ht="14.25" customHeight="1" s="26"/>
    <row r="133" ht="14.25" customHeight="1" s="26"/>
    <row r="134" ht="14.25" customHeight="1" s="26"/>
    <row r="135" ht="14.25" customHeight="1" s="26"/>
    <row r="136" ht="14.25" customHeight="1" s="26"/>
    <row r="137" ht="14.25" customHeight="1" s="26"/>
    <row r="138" ht="14.25" customHeight="1" s="26"/>
    <row r="139" ht="14.25" customHeight="1" s="26"/>
    <row r="140" ht="14.25" customHeight="1" s="26"/>
    <row r="141" ht="14.25" customHeight="1" s="26"/>
    <row r="142" ht="14.25" customHeight="1" s="26"/>
    <row r="143" ht="14.25" customHeight="1" s="26"/>
    <row r="144" ht="14.25" customHeight="1" s="26"/>
    <row r="145" ht="14.25" customHeight="1" s="26"/>
    <row r="146" ht="14.25" customHeight="1" s="26"/>
    <row r="147" ht="14.25" customHeight="1" s="26"/>
    <row r="148" ht="14.25" customHeight="1" s="26"/>
    <row r="149" ht="14.25" customHeight="1" s="26"/>
    <row r="150" ht="14.25" customHeight="1" s="26"/>
    <row r="151" ht="14.25" customHeight="1" s="26"/>
    <row r="152" ht="14.25" customHeight="1" s="26"/>
    <row r="153" ht="14.25" customHeight="1" s="26"/>
    <row r="154" ht="14.25" customHeight="1" s="26"/>
    <row r="155" ht="14.25" customHeight="1" s="26"/>
    <row r="156" ht="14.25" customHeight="1" s="26"/>
    <row r="157" ht="14.25" customHeight="1" s="26"/>
    <row r="158" ht="14.25" customHeight="1" s="26"/>
    <row r="159" ht="14.25" customHeight="1" s="26"/>
    <row r="160" ht="14.25" customHeight="1" s="26"/>
    <row r="161" ht="14.25" customHeight="1" s="26"/>
    <row r="162" ht="14.25" customHeight="1" s="26"/>
    <row r="163" ht="14.25" customHeight="1" s="26"/>
    <row r="164" ht="14.25" customHeight="1" s="26"/>
    <row r="165" ht="14.25" customHeight="1" s="26"/>
    <row r="166" ht="14.25" customHeight="1" s="26"/>
    <row r="167" ht="14.25" customHeight="1" s="26"/>
    <row r="168" ht="14.25" customHeight="1" s="26"/>
    <row r="169" ht="14.25" customHeight="1" s="26"/>
    <row r="170" ht="14.25" customHeight="1" s="26"/>
    <row r="171" ht="14.25" customHeight="1" s="26"/>
    <row r="172" ht="14.25" customHeight="1" s="26"/>
    <row r="173" ht="14.25" customHeight="1" s="26"/>
    <row r="174" ht="14.25" customHeight="1" s="26"/>
    <row r="175" ht="14.25" customHeight="1" s="26"/>
    <row r="176" ht="14.25" customHeight="1" s="26"/>
    <row r="177" ht="14.25" customHeight="1" s="26"/>
    <row r="178" ht="14.25" customHeight="1" s="26"/>
    <row r="179" ht="14.25" customHeight="1" s="26"/>
    <row r="180" ht="14.25" customHeight="1" s="26"/>
    <row r="181" ht="14.25" customHeight="1" s="26"/>
    <row r="182" ht="14.25" customHeight="1" s="26"/>
    <row r="183" ht="14.25" customHeight="1" s="26"/>
    <row r="184" ht="14.25" customHeight="1" s="26"/>
    <row r="185" ht="14.25" customHeight="1" s="26"/>
    <row r="186" ht="14.25" customHeight="1" s="26"/>
    <row r="187" ht="14.25" customHeight="1" s="26"/>
    <row r="188" ht="14.25" customHeight="1" s="26"/>
    <row r="189" ht="14.25" customHeight="1" s="26"/>
    <row r="190" ht="14.25" customHeight="1" s="26"/>
    <row r="191" ht="14.25" customHeight="1" s="26"/>
    <row r="192" ht="14.25" customHeight="1" s="26"/>
    <row r="193" ht="14.25" customHeight="1" s="26"/>
    <row r="194" ht="14.25" customHeight="1" s="26"/>
    <row r="195" ht="14.25" customHeight="1" s="26"/>
    <row r="196" ht="14.25" customHeight="1" s="26"/>
    <row r="197" ht="14.25" customHeight="1" s="26"/>
    <row r="198" ht="14.25" customHeight="1" s="26"/>
    <row r="199" ht="14.25" customHeight="1" s="26"/>
    <row r="200" ht="14.25" customHeight="1" s="26"/>
    <row r="201" ht="14.25" customHeight="1" s="26"/>
    <row r="202" ht="14.25" customHeight="1" s="26"/>
    <row r="203" ht="14.25" customHeight="1" s="26"/>
    <row r="204" ht="14.25" customHeight="1" s="26"/>
    <row r="205" ht="14.25" customHeight="1" s="26"/>
    <row r="206" ht="14.25" customHeight="1" s="26"/>
    <row r="207" ht="14.25" customHeight="1" s="26"/>
    <row r="208" ht="14.25" customHeight="1" s="26"/>
    <row r="209" ht="14.25" customHeight="1" s="26"/>
    <row r="210" ht="14.25" customHeight="1" s="26"/>
    <row r="211" ht="14.25" customHeight="1" s="26"/>
    <row r="212" ht="14.25" customHeight="1" s="26"/>
    <row r="213" ht="14.25" customHeight="1" s="26"/>
    <row r="214" ht="14.25" customHeight="1" s="26"/>
    <row r="215" ht="14.25" customHeight="1" s="26"/>
    <row r="216" ht="14.25" customHeight="1" s="26"/>
    <row r="217" ht="14.25" customHeight="1" s="26"/>
    <row r="218" ht="14.25" customHeight="1" s="26"/>
    <row r="219" ht="14.25" customHeight="1" s="26"/>
    <row r="220" ht="14.25" customHeight="1" s="26"/>
    <row r="221" ht="14.25" customHeight="1" s="26"/>
    <row r="222" ht="14.25" customHeight="1" s="26"/>
    <row r="223" ht="14.25" customHeight="1" s="26"/>
    <row r="224" ht="14.25" customHeight="1" s="26"/>
    <row r="225" ht="14.25" customHeight="1" s="26"/>
    <row r="226" ht="14.25" customHeight="1" s="26"/>
    <row r="227" ht="14.25" customHeight="1" s="26"/>
    <row r="228" ht="14.25" customHeight="1" s="26"/>
    <row r="229" ht="14.25" customHeight="1" s="26"/>
    <row r="230" ht="14.25" customHeight="1" s="26"/>
    <row r="231" ht="14.25" customHeight="1" s="26"/>
    <row r="232" ht="14.25" customHeight="1" s="26"/>
    <row r="233" ht="14.25" customHeight="1" s="26"/>
    <row r="234" ht="14.25" customHeight="1" s="26"/>
    <row r="235" ht="14.25" customHeight="1" s="26"/>
    <row r="236" ht="14.25" customHeight="1" s="26"/>
    <row r="237" ht="14.25" customHeight="1" s="26"/>
    <row r="238" ht="14.25" customHeight="1" s="26"/>
    <row r="239" ht="14.25" customHeight="1" s="26"/>
    <row r="240" ht="14.25" customHeight="1" s="26"/>
    <row r="241" ht="14.25" customHeight="1" s="26"/>
    <row r="242" ht="14.25" customHeight="1" s="26"/>
    <row r="243" ht="14.25" customHeight="1" s="26"/>
    <row r="244" ht="14.25" customHeight="1" s="26"/>
    <row r="245" ht="14.25" customHeight="1" s="26"/>
    <row r="246" ht="14.25" customHeight="1" s="26"/>
    <row r="247" ht="14.25" customHeight="1" s="26"/>
    <row r="248" ht="14.25" customHeight="1" s="26"/>
    <row r="249" ht="14.25" customHeight="1" s="26"/>
    <row r="250" ht="14.25" customHeight="1" s="26"/>
    <row r="251" ht="14.25" customHeight="1" s="26"/>
    <row r="252" ht="14.25" customHeight="1" s="26"/>
    <row r="253" ht="14.25" customHeight="1" s="26"/>
    <row r="254" ht="14.25" customHeight="1" s="26"/>
    <row r="255" ht="14.25" customHeight="1" s="26"/>
    <row r="256" ht="14.25" customHeight="1" s="26"/>
    <row r="257" ht="14.25" customHeight="1" s="26"/>
    <row r="258" ht="14.25" customHeight="1" s="26"/>
    <row r="259" ht="14.25" customHeight="1" s="26"/>
    <row r="260" ht="14.25" customHeight="1" s="26"/>
    <row r="261" ht="14.25" customHeight="1" s="26"/>
    <row r="262" ht="14.25" customHeight="1" s="26"/>
    <row r="263" ht="14.25" customHeight="1" s="26"/>
    <row r="264" ht="14.25" customHeight="1" s="26"/>
    <row r="265" ht="14.25" customHeight="1" s="26"/>
    <row r="266" ht="14.25" customHeight="1" s="26"/>
    <row r="267" ht="14.25" customHeight="1" s="26"/>
    <row r="268" ht="14.25" customHeight="1" s="26"/>
    <row r="269" ht="14.25" customHeight="1" s="26"/>
    <row r="270" ht="14.25" customHeight="1" s="26"/>
    <row r="271" ht="14.25" customHeight="1" s="26"/>
    <row r="272" ht="14.25" customHeight="1" s="26"/>
    <row r="273" ht="14.25" customHeight="1" s="26"/>
    <row r="274" ht="14.25" customHeight="1" s="26"/>
    <row r="275" ht="14.25" customHeight="1" s="26"/>
    <row r="276" ht="14.25" customHeight="1" s="26"/>
    <row r="277" ht="14.25" customHeight="1" s="26"/>
    <row r="278" ht="14.25" customHeight="1" s="26"/>
    <row r="279" ht="14.25" customHeight="1" s="26"/>
    <row r="280" ht="14.25" customHeight="1" s="26"/>
    <row r="281" ht="14.25" customHeight="1" s="26"/>
    <row r="282" ht="14.25" customHeight="1" s="26"/>
    <row r="283" ht="14.25" customHeight="1" s="26"/>
    <row r="284" ht="14.25" customHeight="1" s="26"/>
    <row r="285" ht="14.25" customHeight="1" s="26"/>
    <row r="286" ht="14.25" customHeight="1" s="26"/>
    <row r="287" ht="14.25" customHeight="1" s="26"/>
    <row r="288" ht="14.25" customHeight="1" s="26"/>
    <row r="289" ht="14.25" customHeight="1" s="26"/>
    <row r="290" ht="14.25" customHeight="1" s="26"/>
    <row r="291" ht="14.25" customHeight="1" s="26"/>
    <row r="292" ht="14.25" customHeight="1" s="26"/>
    <row r="293" ht="14.25" customHeight="1" s="26"/>
    <row r="294" ht="14.25" customHeight="1" s="26"/>
    <row r="295" ht="14.25" customHeight="1" s="26"/>
    <row r="296" ht="14.25" customHeight="1" s="26"/>
    <row r="297" ht="14.25" customHeight="1" s="26"/>
    <row r="298" ht="14.25" customHeight="1" s="26"/>
    <row r="299" ht="14.25" customHeight="1" s="26"/>
    <row r="300" ht="14.25" customHeight="1" s="26"/>
    <row r="301" ht="14.25" customHeight="1" s="26"/>
    <row r="302" ht="14.25" customHeight="1" s="26"/>
    <row r="303" ht="14.25" customHeight="1" s="26"/>
    <row r="304" ht="14.25" customHeight="1" s="26"/>
    <row r="305" ht="14.25" customHeight="1" s="26"/>
    <row r="306" ht="14.25" customHeight="1" s="26"/>
    <row r="307" ht="14.25" customHeight="1" s="26"/>
    <row r="308" ht="14.25" customHeight="1" s="26"/>
    <row r="309" ht="14.25" customHeight="1" s="26"/>
    <row r="310" ht="14.25" customHeight="1" s="26"/>
    <row r="311" ht="14.25" customHeight="1" s="26"/>
    <row r="312" ht="14.25" customHeight="1" s="26"/>
    <row r="313" ht="14.25" customHeight="1" s="26"/>
    <row r="314" ht="14.25" customHeight="1" s="26"/>
    <row r="315" ht="14.25" customHeight="1" s="26"/>
    <row r="316" ht="14.25" customHeight="1" s="26"/>
    <row r="317" ht="14.25" customHeight="1" s="26"/>
    <row r="318" ht="14.25" customHeight="1" s="26"/>
    <row r="319" ht="14.25" customHeight="1" s="26"/>
    <row r="320" ht="14.25" customHeight="1" s="26"/>
    <row r="321" ht="14.25" customHeight="1" s="26"/>
    <row r="322" ht="14.25" customHeight="1" s="26"/>
    <row r="323" ht="14.25" customHeight="1" s="26"/>
    <row r="324" ht="14.25" customHeight="1" s="26"/>
    <row r="325" ht="14.25" customHeight="1" s="26"/>
    <row r="326" ht="14.25" customHeight="1" s="26"/>
    <row r="327" ht="14.25" customHeight="1" s="26"/>
    <row r="328" ht="14.25" customHeight="1" s="26"/>
    <row r="329" ht="14.25" customHeight="1" s="26"/>
    <row r="330" ht="14.25" customHeight="1" s="26"/>
    <row r="331" ht="14.25" customHeight="1" s="26"/>
    <row r="332" ht="14.25" customHeight="1" s="26"/>
    <row r="333" ht="14.25" customHeight="1" s="26"/>
    <row r="334" ht="14.25" customHeight="1" s="26"/>
    <row r="335" ht="14.25" customHeight="1" s="26"/>
    <row r="336" ht="14.25" customHeight="1" s="26"/>
    <row r="337" ht="14.25" customHeight="1" s="26"/>
    <row r="338" ht="14.25" customHeight="1" s="26"/>
    <row r="339" ht="14.25" customHeight="1" s="26"/>
    <row r="340" ht="14.25" customHeight="1" s="26"/>
    <row r="341" ht="14.25" customHeight="1" s="26"/>
    <row r="342" ht="14.25" customHeight="1" s="26"/>
    <row r="343" ht="14.25" customHeight="1" s="26"/>
    <row r="344" ht="14.25" customHeight="1" s="26"/>
    <row r="345" ht="14.25" customHeight="1" s="26"/>
    <row r="346" ht="14.25" customHeight="1" s="26"/>
    <row r="347" ht="14.25" customHeight="1" s="26"/>
    <row r="348" ht="14.25" customHeight="1" s="26"/>
    <row r="349" ht="14.25" customHeight="1" s="26"/>
    <row r="350" ht="14.25" customHeight="1" s="26"/>
    <row r="351" ht="14.25" customHeight="1" s="26"/>
    <row r="352" ht="14.25" customHeight="1" s="26"/>
    <row r="353" ht="14.25" customHeight="1" s="26"/>
    <row r="354" ht="14.25" customHeight="1" s="26"/>
    <row r="355" ht="14.25" customHeight="1" s="26"/>
    <row r="356" ht="14.25" customHeight="1" s="26"/>
    <row r="357" ht="14.25" customHeight="1" s="26"/>
    <row r="358" ht="14.25" customHeight="1" s="26"/>
    <row r="359" ht="14.25" customHeight="1" s="26"/>
    <row r="360" ht="14.25" customHeight="1" s="26"/>
    <row r="361" ht="14.25" customHeight="1" s="26"/>
    <row r="362" ht="14.25" customHeight="1" s="26"/>
    <row r="363" ht="14.25" customHeight="1" s="26"/>
    <row r="364" ht="14.25" customHeight="1" s="26"/>
    <row r="365" ht="14.25" customHeight="1" s="26"/>
    <row r="366" ht="14.25" customHeight="1" s="26"/>
    <row r="367" ht="14.25" customHeight="1" s="26"/>
    <row r="368" ht="14.25" customHeight="1" s="26"/>
    <row r="369" ht="14.25" customHeight="1" s="26"/>
    <row r="370" ht="14.25" customHeight="1" s="26"/>
    <row r="371" ht="14.25" customHeight="1" s="26"/>
    <row r="372" ht="14.25" customHeight="1" s="26"/>
    <row r="373" ht="14.25" customHeight="1" s="26"/>
    <row r="374" ht="14.25" customHeight="1" s="26"/>
    <row r="375" ht="14.25" customHeight="1" s="26"/>
    <row r="376" ht="14.25" customHeight="1" s="26"/>
    <row r="377" ht="14.25" customHeight="1" s="26"/>
    <row r="378" ht="14.25" customHeight="1" s="26"/>
    <row r="379" ht="14.25" customHeight="1" s="26"/>
    <row r="380" ht="14.25" customHeight="1" s="26"/>
    <row r="381" ht="14.25" customHeight="1" s="26"/>
    <row r="382" ht="14.25" customHeight="1" s="26"/>
    <row r="383" ht="14.25" customHeight="1" s="26"/>
    <row r="384" ht="14.25" customHeight="1" s="26"/>
    <row r="385" ht="14.25" customHeight="1" s="26"/>
    <row r="386" ht="14.25" customHeight="1" s="26"/>
    <row r="387" ht="14.25" customHeight="1" s="26"/>
    <row r="388" ht="14.25" customHeight="1" s="26"/>
    <row r="389" ht="14.25" customHeight="1" s="26"/>
    <row r="390" ht="14.25" customHeight="1" s="26"/>
    <row r="391" ht="14.25" customHeight="1" s="26"/>
    <row r="392" ht="14.25" customHeight="1" s="26"/>
    <row r="393" ht="14.25" customHeight="1" s="26"/>
    <row r="394" ht="14.25" customHeight="1" s="26"/>
    <row r="395" ht="14.25" customHeight="1" s="26"/>
    <row r="396" ht="14.25" customHeight="1" s="26"/>
    <row r="397" ht="14.25" customHeight="1" s="26"/>
    <row r="398" ht="14.25" customHeight="1" s="26"/>
    <row r="399" ht="14.25" customHeight="1" s="26"/>
    <row r="400" ht="14.25" customHeight="1" s="26"/>
    <row r="401" ht="14.25" customHeight="1" s="26"/>
    <row r="402" ht="14.25" customHeight="1" s="26"/>
    <row r="403" ht="14.25" customHeight="1" s="26"/>
    <row r="404" ht="14.25" customHeight="1" s="26"/>
    <row r="405" ht="14.25" customHeight="1" s="26"/>
    <row r="406" ht="14.25" customHeight="1" s="26"/>
    <row r="407" ht="14.25" customHeight="1" s="26"/>
    <row r="408" ht="14.25" customHeight="1" s="26"/>
    <row r="409" ht="14.25" customHeight="1" s="26"/>
    <row r="410" ht="14.25" customHeight="1" s="26"/>
    <row r="411" ht="14.25" customHeight="1" s="26"/>
    <row r="412" ht="14.25" customHeight="1" s="26"/>
    <row r="413" ht="14.25" customHeight="1" s="26"/>
    <row r="414" ht="14.25" customHeight="1" s="26"/>
    <row r="415" ht="14.25" customHeight="1" s="26"/>
    <row r="416" ht="14.25" customHeight="1" s="26"/>
    <row r="417" ht="14.25" customHeight="1" s="26"/>
    <row r="418" ht="14.25" customHeight="1" s="26"/>
    <row r="419" ht="14.25" customHeight="1" s="26"/>
    <row r="420" ht="14.25" customHeight="1" s="26"/>
    <row r="421" ht="14.25" customHeight="1" s="26"/>
    <row r="422" ht="14.25" customHeight="1" s="26"/>
    <row r="423" ht="14.25" customHeight="1" s="26"/>
    <row r="424" ht="14.25" customHeight="1" s="26"/>
    <row r="425" ht="14.25" customHeight="1" s="26"/>
    <row r="426" ht="14.25" customHeight="1" s="26"/>
    <row r="427" ht="14.25" customHeight="1" s="26"/>
    <row r="428" ht="14.25" customHeight="1" s="26"/>
    <row r="429" ht="14.25" customHeight="1" s="26"/>
    <row r="430" ht="14.25" customHeight="1" s="26"/>
    <row r="431" ht="14.25" customHeight="1" s="26"/>
    <row r="432" ht="14.25" customHeight="1" s="26"/>
    <row r="433" ht="14.25" customHeight="1" s="26"/>
    <row r="434" ht="14.25" customHeight="1" s="26"/>
    <row r="435" ht="14.25" customHeight="1" s="26"/>
    <row r="436" ht="14.25" customHeight="1" s="26"/>
    <row r="437" ht="14.25" customHeight="1" s="26"/>
    <row r="438" ht="14.25" customHeight="1" s="26"/>
    <row r="439" ht="14.25" customHeight="1" s="26"/>
    <row r="440" ht="14.25" customHeight="1" s="26"/>
    <row r="441" ht="14.25" customHeight="1" s="26"/>
    <row r="442" ht="14.25" customHeight="1" s="26"/>
    <row r="443" ht="14.25" customHeight="1" s="26"/>
    <row r="444" ht="14.25" customHeight="1" s="26"/>
    <row r="445" ht="14.25" customHeight="1" s="26"/>
    <row r="446" ht="14.25" customHeight="1" s="26"/>
    <row r="447" ht="14.25" customHeight="1" s="26"/>
    <row r="448" ht="14.25" customHeight="1" s="26"/>
    <row r="449" ht="14.25" customHeight="1" s="26"/>
    <row r="450" ht="14.25" customHeight="1" s="26"/>
    <row r="451" ht="14.25" customHeight="1" s="26"/>
    <row r="452" ht="14.25" customHeight="1" s="26"/>
    <row r="453" ht="14.25" customHeight="1" s="26"/>
    <row r="454" ht="14.25" customHeight="1" s="26"/>
    <row r="455" ht="14.25" customHeight="1" s="26"/>
    <row r="456" ht="14.25" customHeight="1" s="26"/>
    <row r="457" ht="14.25" customHeight="1" s="26"/>
    <row r="458" ht="14.25" customHeight="1" s="26"/>
    <row r="459" ht="14.25" customHeight="1" s="26"/>
    <row r="460" ht="14.25" customHeight="1" s="26"/>
    <row r="461" ht="14.25" customHeight="1" s="26"/>
    <row r="462" ht="14.25" customHeight="1" s="26"/>
    <row r="463" ht="14.25" customHeight="1" s="26"/>
    <row r="464" ht="14.25" customHeight="1" s="26"/>
    <row r="465" ht="14.25" customHeight="1" s="26"/>
    <row r="466" ht="14.25" customHeight="1" s="26"/>
    <row r="467" ht="14.25" customHeight="1" s="26"/>
    <row r="468" ht="14.25" customHeight="1" s="26"/>
    <row r="469" ht="14.25" customHeight="1" s="26"/>
    <row r="470" ht="14.25" customHeight="1" s="26"/>
    <row r="471" ht="14.25" customHeight="1" s="26"/>
    <row r="472" ht="14.25" customHeight="1" s="26"/>
    <row r="473" ht="14.25" customHeight="1" s="26"/>
    <row r="474" ht="14.25" customHeight="1" s="26"/>
    <row r="475" ht="14.25" customHeight="1" s="26"/>
    <row r="476" ht="14.25" customHeight="1" s="26"/>
    <row r="477" ht="14.25" customHeight="1" s="26"/>
    <row r="478" ht="14.25" customHeight="1" s="26"/>
    <row r="479" ht="14.25" customHeight="1" s="26"/>
    <row r="480" ht="14.25" customHeight="1" s="26"/>
    <row r="481" ht="14.25" customHeight="1" s="26"/>
    <row r="482" ht="14.25" customHeight="1" s="26"/>
    <row r="483" ht="14.25" customHeight="1" s="26"/>
    <row r="484" ht="14.25" customHeight="1" s="26"/>
    <row r="485" ht="14.25" customHeight="1" s="26"/>
    <row r="486" ht="14.25" customHeight="1" s="26"/>
    <row r="487" ht="14.25" customHeight="1" s="26"/>
    <row r="488" ht="14.25" customHeight="1" s="26"/>
    <row r="489" ht="14.25" customHeight="1" s="26"/>
    <row r="490" ht="14.25" customHeight="1" s="26"/>
    <row r="491" ht="14.25" customHeight="1" s="26"/>
    <row r="492" ht="14.25" customHeight="1" s="26"/>
    <row r="493" ht="14.25" customHeight="1" s="26"/>
    <row r="494" ht="14.25" customHeight="1" s="26"/>
    <row r="495" ht="14.25" customHeight="1" s="26"/>
    <row r="496" ht="14.25" customHeight="1" s="26"/>
    <row r="497" ht="14.25" customHeight="1" s="26"/>
    <row r="498" ht="14.25" customHeight="1" s="26"/>
    <row r="499" ht="14.25" customHeight="1" s="26"/>
    <row r="500" ht="14.25" customHeight="1" s="26"/>
    <row r="501" ht="14.25" customHeight="1" s="26"/>
    <row r="502" ht="14.25" customHeight="1" s="26"/>
    <row r="503" ht="14.25" customHeight="1" s="26"/>
    <row r="504" ht="14.25" customHeight="1" s="26"/>
    <row r="505" ht="14.25" customHeight="1" s="26"/>
    <row r="506" ht="14.25" customHeight="1" s="26"/>
    <row r="507" ht="14.25" customHeight="1" s="26"/>
    <row r="508" ht="14.25" customHeight="1" s="26"/>
    <row r="509" ht="14.25" customHeight="1" s="26"/>
    <row r="510" ht="14.25" customHeight="1" s="26"/>
    <row r="511" ht="14.25" customHeight="1" s="26"/>
    <row r="512" ht="14.25" customHeight="1" s="26"/>
    <row r="513" ht="14.25" customHeight="1" s="26"/>
    <row r="514" ht="14.25" customHeight="1" s="26"/>
    <row r="515" ht="14.25" customHeight="1" s="26"/>
    <row r="516" ht="14.25" customHeight="1" s="26"/>
    <row r="517" ht="14.25" customHeight="1" s="26"/>
    <row r="518" ht="14.25" customHeight="1" s="26"/>
    <row r="519" ht="14.25" customHeight="1" s="26"/>
    <row r="520" ht="14.25" customHeight="1" s="26"/>
    <row r="521" ht="14.25" customHeight="1" s="26"/>
    <row r="522" ht="14.25" customHeight="1" s="26"/>
    <row r="523" ht="14.25" customHeight="1" s="26"/>
    <row r="524" ht="14.25" customHeight="1" s="26"/>
    <row r="525" ht="14.25" customHeight="1" s="26"/>
    <row r="526" ht="14.25" customHeight="1" s="26"/>
    <row r="527" ht="14.25" customHeight="1" s="26"/>
    <row r="528" ht="14.25" customHeight="1" s="26"/>
    <row r="529" ht="14.25" customHeight="1" s="26"/>
    <row r="530" ht="14.25" customHeight="1" s="26"/>
    <row r="531" ht="14.25" customHeight="1" s="26"/>
    <row r="532" ht="14.25" customHeight="1" s="26"/>
    <row r="533" ht="14.25" customHeight="1" s="26"/>
    <row r="534" ht="14.25" customHeight="1" s="26"/>
    <row r="535" ht="14.25" customHeight="1" s="26"/>
    <row r="536" ht="14.25" customHeight="1" s="26"/>
    <row r="537" ht="14.25" customHeight="1" s="26"/>
    <row r="538" ht="14.25" customHeight="1" s="26"/>
    <row r="539" ht="14.25" customHeight="1" s="26"/>
    <row r="540" ht="14.25" customHeight="1" s="26"/>
    <row r="541" ht="14.25" customHeight="1" s="26"/>
    <row r="542" ht="14.25" customHeight="1" s="26"/>
    <row r="543" ht="14.25" customHeight="1" s="26"/>
    <row r="544" ht="14.25" customHeight="1" s="26"/>
    <row r="545" ht="14.25" customHeight="1" s="26"/>
    <row r="546" ht="14.25" customHeight="1" s="26"/>
    <row r="547" ht="14.25" customHeight="1" s="26"/>
    <row r="548" ht="14.25" customHeight="1" s="26"/>
    <row r="549" ht="14.25" customHeight="1" s="26"/>
    <row r="550" ht="14.25" customHeight="1" s="26"/>
    <row r="551" ht="14.25" customHeight="1" s="26"/>
    <row r="552" ht="14.25" customHeight="1" s="26"/>
    <row r="553" ht="14.25" customHeight="1" s="26"/>
    <row r="554" ht="14.25" customHeight="1" s="26"/>
    <row r="555" ht="14.25" customHeight="1" s="26"/>
    <row r="556" ht="14.25" customHeight="1" s="26"/>
    <row r="557" ht="14.25" customHeight="1" s="26"/>
    <row r="558" ht="14.25" customHeight="1" s="26"/>
    <row r="559" ht="14.25" customHeight="1" s="26"/>
    <row r="560" ht="14.25" customHeight="1" s="26"/>
    <row r="561" ht="14.25" customHeight="1" s="26"/>
    <row r="562" ht="14.25" customHeight="1" s="26"/>
    <row r="563" ht="14.25" customHeight="1" s="26"/>
    <row r="564" ht="14.25" customHeight="1" s="26"/>
    <row r="565" ht="14.25" customHeight="1" s="26"/>
    <row r="566" ht="14.25" customHeight="1" s="26"/>
    <row r="567" ht="14.25" customHeight="1" s="26"/>
    <row r="568" ht="14.25" customHeight="1" s="26"/>
    <row r="569" ht="14.25" customHeight="1" s="26"/>
    <row r="570" ht="14.25" customHeight="1" s="26"/>
    <row r="571" ht="14.25" customHeight="1" s="26"/>
    <row r="572" ht="14.25" customHeight="1" s="26"/>
    <row r="573" ht="14.25" customHeight="1" s="26"/>
    <row r="574" ht="14.25" customHeight="1" s="26"/>
    <row r="575" ht="14.25" customHeight="1" s="26"/>
    <row r="576" ht="14.25" customHeight="1" s="26"/>
    <row r="577" ht="14.25" customHeight="1" s="26"/>
    <row r="578" ht="14.25" customHeight="1" s="26"/>
    <row r="579" ht="14.25" customHeight="1" s="26"/>
    <row r="580" ht="14.25" customHeight="1" s="26"/>
    <row r="581" ht="14.25" customHeight="1" s="26"/>
    <row r="582" ht="14.25" customHeight="1" s="26"/>
    <row r="583" ht="14.25" customHeight="1" s="26"/>
    <row r="584" ht="14.25" customHeight="1" s="26"/>
    <row r="585" ht="14.25" customHeight="1" s="26"/>
    <row r="586" ht="14.25" customHeight="1" s="26"/>
    <row r="587" ht="14.25" customHeight="1" s="26"/>
    <row r="588" ht="14.25" customHeight="1" s="26"/>
    <row r="589" ht="14.25" customHeight="1" s="26"/>
    <row r="590" ht="14.25" customHeight="1" s="26"/>
    <row r="591" ht="14.25" customHeight="1" s="26"/>
    <row r="592" ht="14.25" customHeight="1" s="26"/>
    <row r="593" ht="14.25" customHeight="1" s="26"/>
    <row r="594" ht="14.25" customHeight="1" s="26"/>
    <row r="595" ht="14.25" customHeight="1" s="26"/>
    <row r="596" ht="14.25" customHeight="1" s="26"/>
    <row r="597" ht="14.25" customHeight="1" s="26"/>
    <row r="598" ht="14.25" customHeight="1" s="26"/>
    <row r="599" ht="14.25" customHeight="1" s="26"/>
    <row r="600" ht="14.25" customHeight="1" s="26"/>
    <row r="601" ht="14.25" customHeight="1" s="26"/>
    <row r="602" ht="14.25" customHeight="1" s="26"/>
    <row r="603" ht="14.25" customHeight="1" s="26"/>
    <row r="604" ht="14.25" customHeight="1" s="26"/>
    <row r="605" ht="14.25" customHeight="1" s="26"/>
    <row r="606" ht="14.25" customHeight="1" s="26"/>
    <row r="607" ht="14.25" customHeight="1" s="26"/>
    <row r="608" ht="14.25" customHeight="1" s="26"/>
    <row r="609" ht="14.25" customHeight="1" s="26"/>
    <row r="610" ht="14.25" customHeight="1" s="26"/>
    <row r="611" ht="14.25" customHeight="1" s="26"/>
    <row r="612" ht="14.25" customHeight="1" s="26"/>
    <row r="613" ht="14.25" customHeight="1" s="26"/>
    <row r="614" ht="14.25" customHeight="1" s="26"/>
    <row r="615" ht="14.25" customHeight="1" s="26"/>
    <row r="616" ht="14.25" customHeight="1" s="26"/>
    <row r="617" ht="14.25" customHeight="1" s="26"/>
    <row r="618" ht="14.25" customHeight="1" s="26"/>
    <row r="619" ht="14.25" customHeight="1" s="26"/>
    <row r="620" ht="14.25" customHeight="1" s="26"/>
    <row r="621" ht="14.25" customHeight="1" s="26"/>
    <row r="622" ht="14.25" customHeight="1" s="26"/>
    <row r="623" ht="14.25" customHeight="1" s="26"/>
    <row r="624" ht="14.25" customHeight="1" s="26"/>
    <row r="625" ht="14.25" customHeight="1" s="26"/>
    <row r="626" ht="14.25" customHeight="1" s="26"/>
    <row r="627" ht="14.25" customHeight="1" s="26"/>
    <row r="628" ht="14.25" customHeight="1" s="26"/>
    <row r="629" ht="14.25" customHeight="1" s="26"/>
    <row r="630" ht="14.25" customHeight="1" s="26"/>
    <row r="631" ht="14.25" customHeight="1" s="26"/>
    <row r="632" ht="14.25" customHeight="1" s="26"/>
    <row r="633" ht="14.25" customHeight="1" s="26"/>
    <row r="634" ht="14.25" customHeight="1" s="26"/>
    <row r="635" ht="14.25" customHeight="1" s="26"/>
    <row r="636" ht="14.25" customHeight="1" s="26"/>
    <row r="637" ht="14.25" customHeight="1" s="26"/>
    <row r="638" ht="14.25" customHeight="1" s="26"/>
    <row r="639" ht="14.25" customHeight="1" s="26"/>
    <row r="640" ht="14.25" customHeight="1" s="26"/>
    <row r="641" ht="14.25" customHeight="1" s="26"/>
    <row r="642" ht="14.25" customHeight="1" s="26"/>
    <row r="643" ht="14.25" customHeight="1" s="26"/>
    <row r="644" ht="14.25" customHeight="1" s="26"/>
    <row r="645" ht="14.25" customHeight="1" s="26"/>
    <row r="646" ht="14.25" customHeight="1" s="26"/>
    <row r="647" ht="14.25" customHeight="1" s="26"/>
    <row r="648" ht="14.25" customHeight="1" s="26"/>
    <row r="649" ht="14.25" customHeight="1" s="26"/>
    <row r="650" ht="14.25" customHeight="1" s="26"/>
    <row r="651" ht="14.25" customHeight="1" s="26"/>
    <row r="652" ht="14.25" customHeight="1" s="26"/>
    <row r="653" ht="14.25" customHeight="1" s="26"/>
    <row r="654" ht="14.25" customHeight="1" s="26"/>
    <row r="655" ht="14.25" customHeight="1" s="26"/>
    <row r="656" ht="14.25" customHeight="1" s="26"/>
    <row r="657" ht="14.25" customHeight="1" s="26"/>
    <row r="658" ht="14.25" customHeight="1" s="26"/>
    <row r="659" ht="14.25" customHeight="1" s="26"/>
    <row r="660" ht="14.25" customHeight="1" s="26"/>
    <row r="661" ht="14.25" customHeight="1" s="26"/>
    <row r="662" ht="14.25" customHeight="1" s="26"/>
    <row r="663" ht="14.25" customHeight="1" s="26"/>
    <row r="664" ht="14.25" customHeight="1" s="26"/>
    <row r="665" ht="14.25" customHeight="1" s="26"/>
    <row r="666" ht="14.25" customHeight="1" s="26"/>
    <row r="667" ht="14.25" customHeight="1" s="26"/>
    <row r="668" ht="14.25" customHeight="1" s="26"/>
    <row r="669" ht="14.25" customHeight="1" s="26"/>
    <row r="670" ht="14.25" customHeight="1" s="26"/>
    <row r="671" ht="14.25" customHeight="1" s="26"/>
    <row r="672" ht="14.25" customHeight="1" s="26"/>
    <row r="673" ht="14.25" customHeight="1" s="26"/>
    <row r="674" ht="14.25" customHeight="1" s="26"/>
    <row r="675" ht="14.25" customHeight="1" s="26"/>
    <row r="676" ht="14.25" customHeight="1" s="26"/>
    <row r="677" ht="14.25" customHeight="1" s="26"/>
    <row r="678" ht="14.25" customHeight="1" s="26"/>
    <row r="679" ht="14.25" customHeight="1" s="26"/>
    <row r="680" ht="14.25" customHeight="1" s="26"/>
    <row r="681" ht="14.25" customHeight="1" s="26"/>
    <row r="682" ht="14.25" customHeight="1" s="26"/>
    <row r="683" ht="14.25" customHeight="1" s="26"/>
    <row r="684" ht="14.25" customHeight="1" s="26"/>
    <row r="685" ht="14.25" customHeight="1" s="26"/>
    <row r="686" ht="14.25" customHeight="1" s="26"/>
    <row r="687" ht="14.25" customHeight="1" s="26"/>
    <row r="688" ht="14.25" customHeight="1" s="26"/>
    <row r="689" ht="14.25" customHeight="1" s="26"/>
    <row r="690" ht="14.25" customHeight="1" s="26"/>
    <row r="691" ht="14.25" customHeight="1" s="26"/>
    <row r="692" ht="14.25" customHeight="1" s="26"/>
    <row r="693" ht="14.25" customHeight="1" s="26"/>
    <row r="694" ht="14.25" customHeight="1" s="26"/>
    <row r="695" ht="14.25" customHeight="1" s="26"/>
    <row r="696" ht="14.25" customHeight="1" s="26"/>
    <row r="697" ht="14.25" customHeight="1" s="26"/>
    <row r="698" ht="14.25" customHeight="1" s="26"/>
    <row r="699" ht="14.25" customHeight="1" s="26"/>
    <row r="700" ht="14.25" customHeight="1" s="26"/>
    <row r="701" ht="14.25" customHeight="1" s="26"/>
    <row r="702" ht="14.25" customHeight="1" s="26"/>
    <row r="703" ht="14.25" customHeight="1" s="26"/>
    <row r="704" ht="14.25" customHeight="1" s="26"/>
    <row r="705" ht="14.25" customHeight="1" s="26"/>
    <row r="706" ht="14.25" customHeight="1" s="26"/>
    <row r="707" ht="14.25" customHeight="1" s="26"/>
    <row r="708" ht="14.25" customHeight="1" s="26"/>
    <row r="709" ht="14.25" customHeight="1" s="26"/>
    <row r="710" ht="14.25" customHeight="1" s="26"/>
    <row r="711" ht="14.25" customHeight="1" s="26"/>
    <row r="712" ht="14.25" customHeight="1" s="26"/>
    <row r="713" ht="14.25" customHeight="1" s="26"/>
    <row r="714" ht="14.25" customHeight="1" s="26"/>
    <row r="715" ht="14.25" customHeight="1" s="26"/>
    <row r="716" ht="14.25" customHeight="1" s="26"/>
    <row r="717" ht="14.25" customHeight="1" s="26"/>
    <row r="718" ht="14.25" customHeight="1" s="26"/>
    <row r="719" ht="14.25" customHeight="1" s="26"/>
    <row r="720" ht="14.25" customHeight="1" s="26"/>
    <row r="721" ht="14.25" customHeight="1" s="26"/>
    <row r="722" ht="14.25" customHeight="1" s="26"/>
    <row r="723" ht="14.25" customHeight="1" s="26"/>
    <row r="724" ht="14.25" customHeight="1" s="26"/>
    <row r="725" ht="14.25" customHeight="1" s="26"/>
    <row r="726" ht="14.25" customHeight="1" s="26"/>
    <row r="727" ht="14.25" customHeight="1" s="26"/>
    <row r="728" ht="14.25" customHeight="1" s="26"/>
    <row r="729" ht="14.25" customHeight="1" s="26"/>
    <row r="730" ht="14.25" customHeight="1" s="26"/>
    <row r="731" ht="14.25" customHeight="1" s="26"/>
    <row r="732" ht="14.25" customHeight="1" s="26"/>
    <row r="733" ht="14.25" customHeight="1" s="26"/>
    <row r="734" ht="14.25" customHeight="1" s="26"/>
    <row r="735" ht="14.25" customHeight="1" s="26"/>
    <row r="736" ht="14.25" customHeight="1" s="26"/>
    <row r="737" ht="14.25" customHeight="1" s="26"/>
    <row r="738" ht="14.25" customHeight="1" s="26"/>
    <row r="739" ht="14.25" customHeight="1" s="26"/>
    <row r="740" ht="14.25" customHeight="1" s="26"/>
    <row r="741" ht="14.25" customHeight="1" s="26"/>
    <row r="742" ht="14.25" customHeight="1" s="26"/>
    <row r="743" ht="14.25" customHeight="1" s="26"/>
    <row r="744" ht="14.25" customHeight="1" s="26"/>
    <row r="745" ht="14.25" customHeight="1" s="26"/>
    <row r="746" ht="14.25" customHeight="1" s="26"/>
    <row r="747" ht="14.25" customHeight="1" s="26"/>
    <row r="748" ht="14.25" customHeight="1" s="26"/>
    <row r="749" ht="14.25" customHeight="1" s="26"/>
    <row r="750" ht="14.25" customHeight="1" s="26"/>
    <row r="751" ht="14.25" customHeight="1" s="26"/>
    <row r="752" ht="14.25" customHeight="1" s="26"/>
    <row r="753" ht="14.25" customHeight="1" s="26"/>
    <row r="754" ht="14.25" customHeight="1" s="26"/>
    <row r="755" ht="14.25" customHeight="1" s="26"/>
    <row r="756" ht="14.25" customHeight="1" s="26"/>
    <row r="757" ht="14.25" customHeight="1" s="26"/>
    <row r="758" ht="14.25" customHeight="1" s="26"/>
    <row r="759" ht="14.25" customHeight="1" s="26"/>
    <row r="760" ht="14.25" customHeight="1" s="26"/>
    <row r="761" ht="14.25" customHeight="1" s="26"/>
    <row r="762" ht="14.25" customHeight="1" s="26"/>
    <row r="763" ht="14.25" customHeight="1" s="26"/>
    <row r="764" ht="14.25" customHeight="1" s="26"/>
    <row r="765" ht="14.25" customHeight="1" s="26"/>
    <row r="766" ht="14.25" customHeight="1" s="26"/>
    <row r="767" ht="14.25" customHeight="1" s="26"/>
    <row r="768" ht="14.25" customHeight="1" s="26"/>
    <row r="769" ht="14.25" customHeight="1" s="26"/>
    <row r="770" ht="14.25" customHeight="1" s="26"/>
    <row r="771" ht="14.25" customHeight="1" s="26"/>
    <row r="772" ht="14.25" customHeight="1" s="26"/>
    <row r="773" ht="14.25" customHeight="1" s="26"/>
    <row r="774" ht="14.25" customHeight="1" s="26"/>
    <row r="775" ht="14.25" customHeight="1" s="26"/>
    <row r="776" ht="14.25" customHeight="1" s="26"/>
    <row r="777" ht="14.25" customHeight="1" s="26"/>
    <row r="778" ht="14.25" customHeight="1" s="26"/>
    <row r="779" ht="14.25" customHeight="1" s="26"/>
    <row r="780" ht="14.25" customHeight="1" s="26"/>
    <row r="781" ht="14.25" customHeight="1" s="26"/>
    <row r="782" ht="14.25" customHeight="1" s="26"/>
    <row r="783" ht="14.25" customHeight="1" s="26"/>
    <row r="784" ht="14.25" customHeight="1" s="26"/>
    <row r="785" ht="14.25" customHeight="1" s="26"/>
    <row r="786" ht="14.25" customHeight="1" s="26"/>
    <row r="787" ht="14.25" customHeight="1" s="26"/>
    <row r="788" ht="14.25" customHeight="1" s="26"/>
    <row r="789" ht="14.25" customHeight="1" s="26"/>
    <row r="790" ht="14.25" customHeight="1" s="26"/>
    <row r="791" ht="14.25" customHeight="1" s="26"/>
    <row r="792" ht="14.25" customHeight="1" s="26"/>
    <row r="793" ht="14.25" customHeight="1" s="26"/>
    <row r="794" ht="14.25" customHeight="1" s="26"/>
    <row r="795" ht="14.25" customHeight="1" s="26"/>
    <row r="796" ht="14.25" customHeight="1" s="26"/>
    <row r="797" ht="14.25" customHeight="1" s="26"/>
    <row r="798" ht="14.25" customHeight="1" s="26"/>
    <row r="799" ht="14.25" customHeight="1" s="26"/>
    <row r="800" ht="14.25" customHeight="1" s="26"/>
    <row r="801" ht="14.25" customHeight="1" s="26"/>
    <row r="802" ht="14.25" customHeight="1" s="26"/>
    <row r="803" ht="14.25" customHeight="1" s="26"/>
    <row r="804" ht="14.25" customHeight="1" s="26"/>
    <row r="805" ht="14.25" customHeight="1" s="26"/>
    <row r="806" ht="14.25" customHeight="1" s="26"/>
    <row r="807" ht="14.25" customHeight="1" s="26"/>
    <row r="808" ht="14.25" customHeight="1" s="26"/>
    <row r="809" ht="14.25" customHeight="1" s="26"/>
    <row r="810" ht="14.25" customHeight="1" s="26"/>
    <row r="811" ht="14.25" customHeight="1" s="26"/>
    <row r="812" ht="14.25" customHeight="1" s="26"/>
    <row r="813" ht="14.25" customHeight="1" s="26"/>
    <row r="814" ht="14.25" customHeight="1" s="26"/>
    <row r="815" ht="14.25" customHeight="1" s="26"/>
    <row r="816" ht="14.25" customHeight="1" s="26"/>
    <row r="817" ht="14.25" customHeight="1" s="26"/>
    <row r="818" ht="14.25" customHeight="1" s="26"/>
    <row r="819" ht="14.25" customHeight="1" s="26"/>
    <row r="820" ht="14.25" customHeight="1" s="26"/>
    <row r="821" ht="14.25" customHeight="1" s="26"/>
    <row r="822" ht="14.25" customHeight="1" s="26"/>
    <row r="823" ht="14.25" customHeight="1" s="26"/>
    <row r="824" ht="14.25" customHeight="1" s="26"/>
    <row r="825" ht="14.25" customHeight="1" s="26"/>
    <row r="826" ht="14.25" customHeight="1" s="26"/>
    <row r="827" ht="14.25" customHeight="1" s="26"/>
    <row r="828" ht="14.25" customHeight="1" s="26"/>
    <row r="829" ht="14.25" customHeight="1" s="26"/>
    <row r="830" ht="14.25" customHeight="1" s="26"/>
    <row r="831" ht="14.25" customHeight="1" s="26"/>
    <row r="832" ht="14.25" customHeight="1" s="26"/>
    <row r="833" ht="14.25" customHeight="1" s="26"/>
    <row r="834" ht="14.25" customHeight="1" s="26"/>
    <row r="835" ht="14.25" customHeight="1" s="26"/>
    <row r="836" ht="14.25" customHeight="1" s="26"/>
    <row r="837" ht="14.25" customHeight="1" s="26"/>
    <row r="838" ht="14.25" customHeight="1" s="26"/>
    <row r="839" ht="14.25" customHeight="1" s="26"/>
    <row r="840" ht="14.25" customHeight="1" s="26"/>
    <row r="841" ht="14.25" customHeight="1" s="26"/>
    <row r="842" ht="14.25" customHeight="1" s="26"/>
    <row r="843" ht="14.25" customHeight="1" s="26"/>
    <row r="844" ht="14.25" customHeight="1" s="26"/>
    <row r="845" ht="14.25" customHeight="1" s="26"/>
    <row r="846" ht="14.25" customHeight="1" s="26"/>
    <row r="847" ht="14.25" customHeight="1" s="26"/>
    <row r="848" ht="14.25" customHeight="1" s="26"/>
    <row r="849" ht="14.25" customHeight="1" s="26"/>
    <row r="850" ht="14.25" customHeight="1" s="26"/>
    <row r="851" ht="14.25" customHeight="1" s="26"/>
    <row r="852" ht="14.25" customHeight="1" s="26"/>
    <row r="853" ht="14.25" customHeight="1" s="26"/>
    <row r="854" ht="14.25" customHeight="1" s="26"/>
    <row r="855" ht="14.25" customHeight="1" s="26"/>
    <row r="856" ht="14.25" customHeight="1" s="26"/>
    <row r="857" ht="14.25" customHeight="1" s="26"/>
    <row r="858" ht="14.25" customHeight="1" s="26"/>
    <row r="859" ht="14.25" customHeight="1" s="26"/>
    <row r="860" ht="14.25" customHeight="1" s="26"/>
    <row r="861" ht="14.25" customHeight="1" s="26"/>
    <row r="862" ht="14.25" customHeight="1" s="26"/>
    <row r="863" ht="14.25" customHeight="1" s="26"/>
    <row r="864" ht="14.25" customHeight="1" s="26"/>
    <row r="865" ht="14.25" customHeight="1" s="26"/>
    <row r="866" ht="14.25" customHeight="1" s="26"/>
    <row r="867" ht="14.25" customHeight="1" s="26"/>
    <row r="868" ht="14.25" customHeight="1" s="26"/>
    <row r="869" ht="14.25" customHeight="1" s="26"/>
    <row r="870" ht="14.25" customHeight="1" s="26"/>
    <row r="871" ht="14.25" customHeight="1" s="26"/>
    <row r="872" ht="14.25" customHeight="1" s="26"/>
    <row r="873" ht="14.25" customHeight="1" s="26"/>
    <row r="874" ht="14.25" customHeight="1" s="26"/>
    <row r="875" ht="14.25" customHeight="1" s="26"/>
    <row r="876" ht="14.25" customHeight="1" s="26"/>
    <row r="877" ht="14.25" customHeight="1" s="26"/>
    <row r="878" ht="14.25" customHeight="1" s="26"/>
    <row r="879" ht="14.25" customHeight="1" s="26"/>
    <row r="880" ht="14.25" customHeight="1" s="26"/>
    <row r="881" ht="14.25" customHeight="1" s="26"/>
    <row r="882" ht="14.25" customHeight="1" s="26"/>
    <row r="883" ht="14.25" customHeight="1" s="26"/>
    <row r="884" ht="14.25" customHeight="1" s="26"/>
    <row r="885" ht="14.25" customHeight="1" s="26"/>
    <row r="886" ht="14.25" customHeight="1" s="26"/>
    <row r="887" ht="14.25" customHeight="1" s="26"/>
    <row r="888" ht="14.25" customHeight="1" s="26"/>
    <row r="889" ht="14.25" customHeight="1" s="26"/>
    <row r="890" ht="14.25" customHeight="1" s="26"/>
    <row r="891" ht="14.25" customHeight="1" s="26"/>
    <row r="892" ht="14.25" customHeight="1" s="26"/>
    <row r="893" ht="14.25" customHeight="1" s="26"/>
    <row r="894" ht="14.25" customHeight="1" s="26"/>
    <row r="895" ht="14.25" customHeight="1" s="26"/>
    <row r="896" ht="14.25" customHeight="1" s="26"/>
    <row r="897" ht="14.25" customHeight="1" s="26"/>
    <row r="898" ht="14.25" customHeight="1" s="26"/>
    <row r="899" ht="14.25" customHeight="1" s="26"/>
    <row r="900" ht="14.25" customHeight="1" s="26"/>
    <row r="901" ht="14.25" customHeight="1" s="26"/>
    <row r="902" ht="14.25" customHeight="1" s="26"/>
    <row r="903" ht="14.25" customHeight="1" s="26"/>
    <row r="904" ht="14.25" customHeight="1" s="26"/>
    <row r="905" ht="14.25" customHeight="1" s="26"/>
    <row r="906" ht="14.25" customHeight="1" s="26"/>
    <row r="907" ht="14.25" customHeight="1" s="26"/>
    <row r="908" ht="14.25" customHeight="1" s="26"/>
    <row r="909" ht="14.25" customHeight="1" s="26"/>
    <row r="910" ht="14.25" customHeight="1" s="26"/>
    <row r="911" ht="14.25" customHeight="1" s="26"/>
    <row r="912" ht="14.25" customHeight="1" s="26"/>
    <row r="913" ht="14.25" customHeight="1" s="26"/>
    <row r="914" ht="14.25" customHeight="1" s="26"/>
    <row r="915" ht="14.25" customHeight="1" s="26"/>
    <row r="916" ht="14.25" customHeight="1" s="26"/>
    <row r="917" ht="14.25" customHeight="1" s="26"/>
    <row r="918" ht="14.25" customHeight="1" s="26"/>
    <row r="919" ht="14.25" customHeight="1" s="26"/>
    <row r="920" ht="14.25" customHeight="1" s="26"/>
    <row r="921" ht="14.25" customHeight="1" s="26"/>
    <row r="922" ht="14.25" customHeight="1" s="26"/>
    <row r="923" ht="14.25" customHeight="1" s="26"/>
    <row r="924" ht="14.25" customHeight="1" s="26"/>
    <row r="925" ht="14.25" customHeight="1" s="26"/>
    <row r="926" ht="14.25" customHeight="1" s="26"/>
    <row r="927" ht="14.25" customHeight="1" s="26"/>
    <row r="928" ht="14.25" customHeight="1" s="26"/>
    <row r="929" ht="14.25" customHeight="1" s="26"/>
    <row r="930" ht="14.25" customHeight="1" s="26"/>
    <row r="931" ht="14.25" customHeight="1" s="26"/>
    <row r="932" ht="14.25" customHeight="1" s="26"/>
    <row r="933" ht="14.25" customHeight="1" s="26"/>
    <row r="934" ht="14.25" customHeight="1" s="26"/>
    <row r="935" ht="14.25" customHeight="1" s="26"/>
    <row r="936" ht="14.25" customHeight="1" s="26"/>
    <row r="937" ht="14.25" customHeight="1" s="26"/>
    <row r="938" ht="14.25" customHeight="1" s="26"/>
    <row r="939" ht="14.25" customHeight="1" s="26"/>
    <row r="940" ht="14.25" customHeight="1" s="26"/>
    <row r="941" ht="14.25" customHeight="1" s="26"/>
    <row r="942" ht="14.25" customHeight="1" s="26"/>
    <row r="943" ht="14.25" customHeight="1" s="26"/>
    <row r="944" ht="14.25" customHeight="1" s="26"/>
    <row r="945" ht="14.25" customHeight="1" s="26"/>
    <row r="946" ht="14.25" customHeight="1" s="26"/>
    <row r="947" ht="14.25" customHeight="1" s="26"/>
    <row r="948" ht="14.25" customHeight="1" s="26"/>
    <row r="949" ht="14.25" customHeight="1" s="26"/>
    <row r="950" ht="14.25" customHeight="1" s="26"/>
    <row r="951" ht="14.25" customHeight="1" s="26"/>
    <row r="952" ht="14.25" customHeight="1" s="26"/>
    <row r="953" ht="14.25" customHeight="1" s="26"/>
    <row r="954" ht="14.25" customHeight="1" s="26"/>
    <row r="955" ht="14.25" customHeight="1" s="26"/>
    <row r="956" ht="14.25" customHeight="1" s="26"/>
    <row r="957" ht="14.25" customHeight="1" s="26"/>
    <row r="958" ht="14.25" customHeight="1" s="26"/>
    <row r="959" ht="14.25" customHeight="1" s="26"/>
    <row r="960" ht="14.25" customHeight="1" s="26"/>
    <row r="961" ht="14.25" customHeight="1" s="26"/>
    <row r="962" ht="14.25" customHeight="1" s="26"/>
    <row r="963" ht="14.25" customHeight="1" s="26"/>
    <row r="964" ht="14.25" customHeight="1" s="26"/>
    <row r="965" ht="14.25" customHeight="1" s="26"/>
    <row r="966" ht="14.25" customHeight="1" s="26"/>
    <row r="967" ht="14.25" customHeight="1" s="26"/>
    <row r="968" ht="14.25" customHeight="1" s="26"/>
    <row r="969" ht="14.25" customHeight="1" s="26"/>
    <row r="970" ht="14.25" customHeight="1" s="26"/>
    <row r="971" ht="14.25" customHeight="1" s="26"/>
    <row r="972" ht="14.25" customHeight="1" s="26"/>
    <row r="973" ht="14.25" customHeight="1" s="26"/>
    <row r="974" ht="14.25" customHeight="1" s="26"/>
    <row r="975" ht="14.25" customHeight="1" s="26"/>
    <row r="976" ht="14.25" customHeight="1" s="26"/>
    <row r="977" ht="14.25" customHeight="1" s="26"/>
    <row r="978" ht="14.25" customHeight="1" s="26"/>
    <row r="979" ht="14.25" customHeight="1" s="26"/>
    <row r="980" ht="14.25" customHeight="1" s="26"/>
    <row r="981" ht="14.25" customHeight="1" s="26"/>
    <row r="982" ht="14.25" customHeight="1" s="26"/>
    <row r="983" ht="14.25" customHeight="1" s="26"/>
    <row r="984" ht="14.25" customHeight="1" s="26"/>
    <row r="985" ht="14.25" customHeight="1" s="26"/>
    <row r="986" ht="14.25" customHeight="1" s="26"/>
    <row r="987" ht="14.25" customHeight="1" s="26"/>
    <row r="988" ht="14.25" customHeight="1" s="26"/>
    <row r="989" ht="14.25" customHeight="1" s="26"/>
    <row r="990" ht="14.25" customHeight="1" s="26"/>
    <row r="991" ht="14.25" customHeight="1" s="26"/>
    <row r="992" ht="14.25" customHeight="1" s="26"/>
    <row r="993" ht="14.25" customHeight="1" s="26"/>
    <row r="994" ht="14.25" customHeight="1" s="26"/>
    <row r="995" ht="14.25" customHeight="1" s="26"/>
    <row r="996" ht="14.25" customHeight="1" s="26"/>
    <row r="997" ht="14.25" customHeight="1" s="26"/>
    <row r="998" ht="14.25" customHeight="1" s="26"/>
    <row r="999" ht="14.25" customHeight="1" s="26"/>
    <row r="1000" ht="14.25" customHeight="1" s="26"/>
  </sheetData>
  <mergeCells count="4">
    <mergeCell ref="E9:J9"/>
    <mergeCell ref="A1:D1"/>
    <mergeCell ref="A9:C9"/>
    <mergeCell ref="E16:H16"/>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HS24D006 Shiva Muthukumar</dc:creator>
  <dcterms:created xsi:type="dcterms:W3CDTF">2026-08-10T05:54:32Z</dcterms:created>
  <dcterms:modified xsi:type="dcterms:W3CDTF">2026-09-14T15:42:55Z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0x010100655B7AE822669B429B3900391667F794</vt:lpwstr>
  </property>
</Properties>
</file>